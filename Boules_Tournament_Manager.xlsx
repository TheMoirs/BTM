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Teams" sheetId="2" state="visible" r:id="rId2"/>
    <sheet name="Matches" sheetId="3" state="visible" r:id="rId3"/>
    <sheet name="Leaderboard" sheetId="4" state="visible" r:id="rId4"/>
    <sheet name="Macro Code" sheetId="5" state="visible" r:id="rId5"/>
  </sheets>
  <definedNames>
    <definedName name="TeamList">Teams!$B$3:$B$52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+0;-0;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1B3A5C"/>
      <sz val="10"/>
    </font>
    <font>
      <name val="Calibri"/>
      <b val="1"/>
      <color rgb="002F5496"/>
      <sz val="10"/>
    </font>
    <font>
      <name val="Calibri"/>
      <color rgb="00404040"/>
      <sz val="10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color rgb="00D6DCE4"/>
      <sz val="10"/>
    </font>
    <font>
      <name val="Courier New"/>
      <color rgb="00003300"/>
      <sz val="9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DEEAF1"/>
        <bgColor rgb="00DEEAF1"/>
      </patternFill>
    </fill>
    <fill>
      <patternFill patternType="solid">
        <fgColor rgb="00F0F7F0"/>
        <bgColor rgb="00F0F7F0"/>
      </patternFill>
    </fill>
  </fills>
  <borders count="3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 style="thin">
        <color rgb="002F5496"/>
      </left>
      <right style="thin">
        <color rgb="002F5496"/>
      </right>
      <top style="thin">
        <color rgb="002F5496"/>
      </top>
      <bottom style="thin">
        <color rgb="002F549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8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40" customHeight="1">
      <c r="A1" s="1" t="inlineStr">
        <is>
          <t>⚽  Boules Tournament Manager</t>
        </is>
      </c>
    </row>
    <row r="2" ht="8" customHeight="1"/>
    <row r="3">
      <c r="A3" s="2" t="inlineStr">
        <is>
          <t>TOURNAMENT DETAILS</t>
        </is>
      </c>
    </row>
    <row r="4">
      <c r="A4" s="3" t="inlineStr">
        <is>
          <t>Tournament Name</t>
        </is>
      </c>
      <c r="B4" s="4" t="inlineStr">
        <is>
          <t>My Tournament</t>
        </is>
      </c>
    </row>
    <row r="5">
      <c r="A5" s="3" t="inlineStr">
        <is>
          <t>Description</t>
        </is>
      </c>
      <c r="B5" s="4" t="inlineStr"/>
    </row>
    <row r="6">
      <c r="A6" s="3" t="inlineStr">
        <is>
          <t>Number of Divisions</t>
        </is>
      </c>
      <c r="B6" s="5" t="n">
        <v>2</v>
      </c>
    </row>
    <row r="7">
      <c r="A7" s="3" t="inlineStr">
        <is>
          <t>Games per Match</t>
        </is>
      </c>
      <c r="B7" s="5" t="n">
        <v>3</v>
      </c>
    </row>
    <row r="8">
      <c r="A8" s="3" t="inlineStr">
        <is>
          <t>Points for a Win</t>
        </is>
      </c>
      <c r="B8" s="5" t="n">
        <v>2</v>
      </c>
    </row>
    <row r="9">
      <c r="A9" s="3" t="inlineStr">
        <is>
          <t>Points for a Draw</t>
        </is>
      </c>
      <c r="B9" s="5" t="n">
        <v>1</v>
      </c>
    </row>
    <row r="10">
      <c r="A10" s="3" t="inlineStr">
        <is>
          <t>Points for a Loss</t>
        </is>
      </c>
      <c r="B10" s="5" t="n">
        <v>0</v>
      </c>
    </row>
    <row r="12">
      <c r="A12" s="2" t="inlineStr">
        <is>
          <t>STAGES INCLUDED</t>
        </is>
      </c>
    </row>
    <row r="13">
      <c r="A13" s="3" t="inlineStr">
        <is>
          <t>Initial Round</t>
        </is>
      </c>
      <c r="B13" s="5" t="inlineStr">
        <is>
          <t>Yes</t>
        </is>
      </c>
    </row>
    <row r="14">
      <c r="A14" s="3" t="inlineStr">
        <is>
          <t>Quarter-Finals</t>
        </is>
      </c>
      <c r="B14" s="5" t="inlineStr">
        <is>
          <t>No</t>
        </is>
      </c>
    </row>
    <row r="15">
      <c r="A15" s="3" t="inlineStr">
        <is>
          <t>Semi-Finals</t>
        </is>
      </c>
      <c r="B15" s="5" t="inlineStr">
        <is>
          <t>Yes</t>
        </is>
      </c>
    </row>
    <row r="16">
      <c r="A16" s="3" t="inlineStr">
        <is>
          <t>Finals</t>
        </is>
      </c>
      <c r="B16" s="5" t="inlineStr">
        <is>
          <t>Yes</t>
        </is>
      </c>
    </row>
    <row r="18">
      <c r="A18" s="2" t="inlineStr">
        <is>
          <t>HOW TO USE THIS SPREADSHEET</t>
        </is>
      </c>
    </row>
    <row r="19">
      <c r="A19" s="6" t="inlineStr">
        <is>
          <t>1. Setup tab</t>
        </is>
      </c>
      <c r="B19" s="7" t="inlineStr">
        <is>
          <t>Fill in your tournament details above (yellow cells).</t>
        </is>
      </c>
    </row>
    <row r="20">
      <c r="A20" s="6" t="inlineStr">
        <is>
          <t>2. Teams tab</t>
        </is>
      </c>
      <c r="B20" s="7" t="inlineStr">
        <is>
          <t>Add all teams with their division (A, B, C, D...) and captain details.</t>
        </is>
      </c>
    </row>
    <row r="21">
      <c r="A21" s="6" t="inlineStr">
        <is>
          <t>3. Generate Matches</t>
        </is>
      </c>
      <c r="B21" s="7" t="inlineStr">
        <is>
          <t>Use the macro button on the Matches tab to auto-generate the round-robin schedule.</t>
        </is>
      </c>
    </row>
    <row r="22">
      <c r="A22" s="6" t="inlineStr">
        <is>
          <t>4. Enter Scores</t>
        </is>
      </c>
      <c r="B22" s="7" t="inlineStr">
        <is>
          <t>On the Matches tab, enter scores as matches are played. Winner &amp; Status auto-calculate.</t>
        </is>
      </c>
    </row>
    <row r="23">
      <c r="A23" s="6" t="inlineStr">
        <is>
          <t>5. Leaderboard</t>
        </is>
      </c>
      <c r="B23" s="7" t="inlineStr">
        <is>
          <t>View the Leaderboard tab for live standings. Select a Stage using the dropdown.</t>
        </is>
      </c>
    </row>
    <row r="24">
      <c r="A24" s="6" t="inlineStr">
        <is>
          <t>6. Macro Setup</t>
        </is>
      </c>
      <c r="B24" s="7" t="inlineStr">
        <is>
          <t>To enable the Generate Matches button: open Excel, press Alt+F11, insert a Module,</t>
        </is>
      </c>
    </row>
    <row r="25">
      <c r="B25" s="7" t="inlineStr">
        <is>
          <t>paste the VBA code from the 'Macro Code' tab, then close the VBA editor.</t>
        </is>
      </c>
    </row>
    <row r="26">
      <c r="B26" s="7" t="inlineStr">
        <is>
          <t>Save the file as .xlsm (macro-enabled) to preserve the button.</t>
        </is>
      </c>
    </row>
  </sheetData>
  <mergeCells count="4">
    <mergeCell ref="A1:E1"/>
    <mergeCell ref="A18:E18"/>
    <mergeCell ref="A12:E12"/>
    <mergeCell ref="A3:E3"/>
  </mergeCells>
  <dataValidations count="4">
    <dataValidation sqref="B13" showDropDown="0" showInputMessage="0" showErrorMessage="0" allowBlank="0" type="list">
      <formula1>"Yes,No"</formula1>
    </dataValidation>
    <dataValidation sqref="B14" showDropDown="0" showInputMessage="0" showErrorMessage="0" allowBlank="0" type="list">
      <formula1>"Yes,No"</formula1>
    </dataValidation>
    <dataValidation sqref="B15" showDropDown="0" showInputMessage="0" showErrorMessage="0" allowBlank="0" type="list">
      <formula1>"Yes,No"</formula1>
    </dataValidation>
    <dataValidation sqref="B16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28" customWidth="1" min="5" max="5"/>
  </cols>
  <sheetData>
    <row r="1" ht="32" customHeight="1">
      <c r="A1" s="8" t="inlineStr">
        <is>
          <t>TEAMS</t>
        </is>
      </c>
    </row>
    <row r="2" ht="18" customHeight="1">
      <c r="A2" s="9" t="inlineStr">
        <is>
          <t>Division</t>
        </is>
      </c>
      <c r="B2" s="9" t="inlineStr">
        <is>
          <t>Team Name</t>
        </is>
      </c>
      <c r="C2" s="9" t="inlineStr">
        <is>
          <t>Captain Name</t>
        </is>
      </c>
      <c r="D2" s="9" t="inlineStr">
        <is>
          <t>Captain Phone</t>
        </is>
      </c>
      <c r="E2" s="9" t="inlineStr">
        <is>
          <t>Captain Email</t>
        </is>
      </c>
    </row>
    <row r="3">
      <c r="A3" s="10" t="n"/>
      <c r="B3" s="11" t="n"/>
      <c r="C3" s="11" t="n"/>
      <c r="D3" s="11" t="n"/>
      <c r="E3" s="11" t="n"/>
    </row>
    <row r="4">
      <c r="A4" s="12" t="n"/>
      <c r="B4" s="13" t="n"/>
      <c r="C4" s="13" t="n"/>
      <c r="D4" s="13" t="n"/>
      <c r="E4" s="13" t="n"/>
    </row>
    <row r="5">
      <c r="A5" s="10" t="n"/>
      <c r="B5" s="11" t="n"/>
      <c r="C5" s="11" t="n"/>
      <c r="D5" s="11" t="n"/>
      <c r="E5" s="11" t="n"/>
    </row>
    <row r="6">
      <c r="A6" s="12" t="n"/>
      <c r="B6" s="13" t="n"/>
      <c r="C6" s="13" t="n"/>
      <c r="D6" s="13" t="n"/>
      <c r="E6" s="13" t="n"/>
    </row>
    <row r="7">
      <c r="A7" s="10" t="n"/>
      <c r="B7" s="11" t="n"/>
      <c r="C7" s="11" t="n"/>
      <c r="D7" s="11" t="n"/>
      <c r="E7" s="11" t="n"/>
    </row>
    <row r="8">
      <c r="A8" s="12" t="n"/>
      <c r="B8" s="13" t="n"/>
      <c r="C8" s="13" t="n"/>
      <c r="D8" s="13" t="n"/>
      <c r="E8" s="13" t="n"/>
    </row>
    <row r="9">
      <c r="A9" s="10" t="n"/>
      <c r="B9" s="11" t="n"/>
      <c r="C9" s="11" t="n"/>
      <c r="D9" s="11" t="n"/>
      <c r="E9" s="11" t="n"/>
    </row>
    <row r="10">
      <c r="A10" s="12" t="n"/>
      <c r="B10" s="13" t="n"/>
      <c r="C10" s="13" t="n"/>
      <c r="D10" s="13" t="n"/>
      <c r="E10" s="13" t="n"/>
    </row>
    <row r="11">
      <c r="A11" s="10" t="n"/>
      <c r="B11" s="11" t="n"/>
      <c r="C11" s="11" t="n"/>
      <c r="D11" s="11" t="n"/>
      <c r="E11" s="11" t="n"/>
    </row>
    <row r="12">
      <c r="A12" s="12" t="n"/>
      <c r="B12" s="13" t="n"/>
      <c r="C12" s="13" t="n"/>
      <c r="D12" s="13" t="n"/>
      <c r="E12" s="13" t="n"/>
    </row>
    <row r="13">
      <c r="A13" s="10" t="n"/>
      <c r="B13" s="11" t="n"/>
      <c r="C13" s="11" t="n"/>
      <c r="D13" s="11" t="n"/>
      <c r="E13" s="11" t="n"/>
    </row>
    <row r="14">
      <c r="A14" s="12" t="n"/>
      <c r="B14" s="13" t="n"/>
      <c r="C14" s="13" t="n"/>
      <c r="D14" s="13" t="n"/>
      <c r="E14" s="13" t="n"/>
    </row>
    <row r="15">
      <c r="A15" s="10" t="n"/>
      <c r="B15" s="11" t="n"/>
      <c r="C15" s="11" t="n"/>
      <c r="D15" s="11" t="n"/>
      <c r="E15" s="11" t="n"/>
    </row>
    <row r="16">
      <c r="A16" s="12" t="n"/>
      <c r="B16" s="13" t="n"/>
      <c r="C16" s="13" t="n"/>
      <c r="D16" s="13" t="n"/>
      <c r="E16" s="13" t="n"/>
    </row>
    <row r="17">
      <c r="A17" s="10" t="n"/>
      <c r="B17" s="11" t="n"/>
      <c r="C17" s="11" t="n"/>
      <c r="D17" s="11" t="n"/>
      <c r="E17" s="11" t="n"/>
    </row>
    <row r="18">
      <c r="A18" s="12" t="n"/>
      <c r="B18" s="13" t="n"/>
      <c r="C18" s="13" t="n"/>
      <c r="D18" s="13" t="n"/>
      <c r="E18" s="13" t="n"/>
    </row>
    <row r="19">
      <c r="A19" s="10" t="n"/>
      <c r="B19" s="11" t="n"/>
      <c r="C19" s="11" t="n"/>
      <c r="D19" s="11" t="n"/>
      <c r="E19" s="11" t="n"/>
    </row>
    <row r="20">
      <c r="A20" s="12" t="n"/>
      <c r="B20" s="13" t="n"/>
      <c r="C20" s="13" t="n"/>
      <c r="D20" s="13" t="n"/>
      <c r="E20" s="13" t="n"/>
    </row>
    <row r="21">
      <c r="A21" s="10" t="n"/>
      <c r="B21" s="11" t="n"/>
      <c r="C21" s="11" t="n"/>
      <c r="D21" s="11" t="n"/>
      <c r="E21" s="11" t="n"/>
    </row>
    <row r="22">
      <c r="A22" s="12" t="n"/>
      <c r="B22" s="13" t="n"/>
      <c r="C22" s="13" t="n"/>
      <c r="D22" s="13" t="n"/>
      <c r="E22" s="13" t="n"/>
    </row>
    <row r="23">
      <c r="A23" s="10" t="n"/>
      <c r="B23" s="11" t="n"/>
      <c r="C23" s="11" t="n"/>
      <c r="D23" s="11" t="n"/>
      <c r="E23" s="11" t="n"/>
    </row>
    <row r="24">
      <c r="A24" s="12" t="n"/>
      <c r="B24" s="13" t="n"/>
      <c r="C24" s="13" t="n"/>
      <c r="D24" s="13" t="n"/>
      <c r="E24" s="13" t="n"/>
    </row>
    <row r="25">
      <c r="A25" s="10" t="n"/>
      <c r="B25" s="11" t="n"/>
      <c r="C25" s="11" t="n"/>
      <c r="D25" s="11" t="n"/>
      <c r="E25" s="11" t="n"/>
    </row>
    <row r="26">
      <c r="A26" s="12" t="n"/>
      <c r="B26" s="13" t="n"/>
      <c r="C26" s="13" t="n"/>
      <c r="D26" s="13" t="n"/>
      <c r="E26" s="13" t="n"/>
    </row>
    <row r="27">
      <c r="A27" s="10" t="n"/>
      <c r="B27" s="11" t="n"/>
      <c r="C27" s="11" t="n"/>
      <c r="D27" s="11" t="n"/>
      <c r="E27" s="11" t="n"/>
    </row>
    <row r="28">
      <c r="A28" s="12" t="n"/>
      <c r="B28" s="13" t="n"/>
      <c r="C28" s="13" t="n"/>
      <c r="D28" s="13" t="n"/>
      <c r="E28" s="13" t="n"/>
    </row>
    <row r="29">
      <c r="A29" s="10" t="n"/>
      <c r="B29" s="11" t="n"/>
      <c r="C29" s="11" t="n"/>
      <c r="D29" s="11" t="n"/>
      <c r="E29" s="11" t="n"/>
    </row>
    <row r="30">
      <c r="A30" s="12" t="n"/>
      <c r="B30" s="13" t="n"/>
      <c r="C30" s="13" t="n"/>
      <c r="D30" s="13" t="n"/>
      <c r="E30" s="13" t="n"/>
    </row>
    <row r="31">
      <c r="A31" s="10" t="n"/>
      <c r="B31" s="11" t="n"/>
      <c r="C31" s="11" t="n"/>
      <c r="D31" s="11" t="n"/>
      <c r="E31" s="11" t="n"/>
    </row>
    <row r="32">
      <c r="A32" s="12" t="n"/>
      <c r="B32" s="13" t="n"/>
      <c r="C32" s="13" t="n"/>
      <c r="D32" s="13" t="n"/>
      <c r="E32" s="13" t="n"/>
    </row>
    <row r="33">
      <c r="A33" s="10" t="n"/>
      <c r="B33" s="11" t="n"/>
      <c r="C33" s="11" t="n"/>
      <c r="D33" s="11" t="n"/>
      <c r="E33" s="11" t="n"/>
    </row>
    <row r="34">
      <c r="A34" s="12" t="n"/>
      <c r="B34" s="13" t="n"/>
      <c r="C34" s="13" t="n"/>
      <c r="D34" s="13" t="n"/>
      <c r="E34" s="13" t="n"/>
    </row>
    <row r="35">
      <c r="A35" s="10" t="n"/>
      <c r="B35" s="11" t="n"/>
      <c r="C35" s="11" t="n"/>
      <c r="D35" s="11" t="n"/>
      <c r="E35" s="11" t="n"/>
    </row>
    <row r="36">
      <c r="A36" s="12" t="n"/>
      <c r="B36" s="13" t="n"/>
      <c r="C36" s="13" t="n"/>
      <c r="D36" s="13" t="n"/>
      <c r="E36" s="13" t="n"/>
    </row>
    <row r="37">
      <c r="A37" s="10" t="n"/>
      <c r="B37" s="11" t="n"/>
      <c r="C37" s="11" t="n"/>
      <c r="D37" s="11" t="n"/>
      <c r="E37" s="11" t="n"/>
    </row>
    <row r="38">
      <c r="A38" s="12" t="n"/>
      <c r="B38" s="13" t="n"/>
      <c r="C38" s="13" t="n"/>
      <c r="D38" s="13" t="n"/>
      <c r="E38" s="13" t="n"/>
    </row>
    <row r="39">
      <c r="A39" s="10" t="n"/>
      <c r="B39" s="11" t="n"/>
      <c r="C39" s="11" t="n"/>
      <c r="D39" s="11" t="n"/>
      <c r="E39" s="11" t="n"/>
    </row>
    <row r="40">
      <c r="A40" s="12" t="n"/>
      <c r="B40" s="13" t="n"/>
      <c r="C40" s="13" t="n"/>
      <c r="D40" s="13" t="n"/>
      <c r="E40" s="13" t="n"/>
    </row>
    <row r="41">
      <c r="A41" s="10" t="n"/>
      <c r="B41" s="11" t="n"/>
      <c r="C41" s="11" t="n"/>
      <c r="D41" s="11" t="n"/>
      <c r="E41" s="11" t="n"/>
    </row>
    <row r="42">
      <c r="A42" s="12" t="n"/>
      <c r="B42" s="13" t="n"/>
      <c r="C42" s="13" t="n"/>
      <c r="D42" s="13" t="n"/>
      <c r="E42" s="13" t="n"/>
    </row>
    <row r="43">
      <c r="A43" s="10" t="n"/>
      <c r="B43" s="11" t="n"/>
      <c r="C43" s="11" t="n"/>
      <c r="D43" s="11" t="n"/>
      <c r="E43" s="11" t="n"/>
    </row>
    <row r="44">
      <c r="A44" s="12" t="n"/>
      <c r="B44" s="13" t="n"/>
      <c r="C44" s="13" t="n"/>
      <c r="D44" s="13" t="n"/>
      <c r="E44" s="13" t="n"/>
    </row>
    <row r="45">
      <c r="A45" s="10" t="n"/>
      <c r="B45" s="11" t="n"/>
      <c r="C45" s="11" t="n"/>
      <c r="D45" s="11" t="n"/>
      <c r="E45" s="11" t="n"/>
    </row>
    <row r="46">
      <c r="A46" s="12" t="n"/>
      <c r="B46" s="13" t="n"/>
      <c r="C46" s="13" t="n"/>
      <c r="D46" s="13" t="n"/>
      <c r="E46" s="13" t="n"/>
    </row>
    <row r="47">
      <c r="A47" s="10" t="n"/>
      <c r="B47" s="11" t="n"/>
      <c r="C47" s="11" t="n"/>
      <c r="D47" s="11" t="n"/>
      <c r="E47" s="11" t="n"/>
    </row>
    <row r="48">
      <c r="A48" s="12" t="n"/>
      <c r="B48" s="13" t="n"/>
      <c r="C48" s="13" t="n"/>
      <c r="D48" s="13" t="n"/>
      <c r="E48" s="13" t="n"/>
    </row>
    <row r="49">
      <c r="A49" s="10" t="n"/>
      <c r="B49" s="11" t="n"/>
      <c r="C49" s="11" t="n"/>
      <c r="D49" s="11" t="n"/>
      <c r="E49" s="11" t="n"/>
    </row>
    <row r="50">
      <c r="A50" s="12" t="n"/>
      <c r="B50" s="13" t="n"/>
      <c r="C50" s="13" t="n"/>
      <c r="D50" s="13" t="n"/>
      <c r="E50" s="13" t="n"/>
    </row>
    <row r="51">
      <c r="A51" s="10" t="n"/>
      <c r="B51" s="11" t="n"/>
      <c r="C51" s="11" t="n"/>
      <c r="D51" s="11" t="n"/>
      <c r="E51" s="11" t="n"/>
    </row>
    <row r="52">
      <c r="A52" s="12" t="n"/>
      <c r="B52" s="13" t="n"/>
      <c r="C52" s="13" t="n"/>
      <c r="D52" s="13" t="n"/>
      <c r="E52" s="13" t="n"/>
    </row>
  </sheetData>
  <mergeCells count="1">
    <mergeCell ref="A1:E1"/>
  </mergeCells>
  <dataValidations count="1">
    <dataValidation sqref="A3:A52" showDropDown="0" showInputMessage="0" showErrorMessage="0" allowBlank="1" type="list">
      <formula1>"A,B,C,D,E,F"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O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2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8" customWidth="1" min="14" max="14"/>
    <col width="12" customWidth="1" min="15" max="15"/>
  </cols>
  <sheetData>
    <row r="1" ht="32" customHeight="1">
      <c r="A1" s="8" t="inlineStr">
        <is>
          <t>MATCHES</t>
        </is>
      </c>
    </row>
    <row r="2" ht="30" customHeight="1">
      <c r="A2" s="14" t="inlineStr">
        <is>
          <t>Date</t>
        </is>
      </c>
      <c r="B2" s="14" t="inlineStr">
        <is>
          <t>Stage</t>
        </is>
      </c>
      <c r="C2" s="14" t="inlineStr">
        <is>
          <t>Division</t>
        </is>
      </c>
      <c r="D2" s="14" t="inlineStr">
        <is>
          <t>Team 1</t>
        </is>
      </c>
      <c r="E2" s="14" t="inlineStr">
        <is>
          <t>Team 2</t>
        </is>
      </c>
      <c r="F2" s="14" t="inlineStr">
        <is>
          <t>G1
T1</t>
        </is>
      </c>
      <c r="G2" s="14" t="inlineStr">
        <is>
          <t>G1
T2</t>
        </is>
      </c>
      <c r="H2" s="14" t="inlineStr">
        <is>
          <t>G2
T1</t>
        </is>
      </c>
      <c r="I2" s="14" t="inlineStr">
        <is>
          <t>G2
T2</t>
        </is>
      </c>
      <c r="J2" s="14" t="inlineStr">
        <is>
          <t>G3
T1</t>
        </is>
      </c>
      <c r="K2" s="14" t="inlineStr">
        <is>
          <t>G3
T2</t>
        </is>
      </c>
      <c r="L2" s="14" t="inlineStr">
        <is>
          <t>Total
T1</t>
        </is>
      </c>
      <c r="M2" s="14" t="inlineStr">
        <is>
          <t>Total
T2</t>
        </is>
      </c>
      <c r="N2" s="14" t="inlineStr">
        <is>
          <t>Winner</t>
        </is>
      </c>
      <c r="O2" s="14" t="inlineStr">
        <is>
          <t>Status</t>
        </is>
      </c>
    </row>
    <row r="3">
      <c r="A3" s="15" t="n"/>
      <c r="B3" s="16" t="n"/>
      <c r="C3" s="16" t="n"/>
      <c r="D3" s="17" t="n"/>
      <c r="E3" s="17" t="n"/>
      <c r="F3" s="16" t="n"/>
      <c r="G3" s="16" t="n"/>
      <c r="H3" s="16" t="n"/>
      <c r="I3" s="16" t="n"/>
      <c r="J3" s="16" t="n"/>
      <c r="K3" s="16" t="n"/>
      <c r="L3" s="18">
        <f>IF(AND(D3="",E3=""),"",IFERROR(IF(F3&lt;&gt;"",F3,0)+IF(H3&lt;&gt;"",H3,0)+IF(J3&lt;&gt;"",J3,0),""))</f>
        <v/>
      </c>
      <c r="M3" s="18">
        <f>IF(AND(D3="",E3=""),"",IFERROR(IF(G3&lt;&gt;"",G3,0)+IF(I3&lt;&gt;"",I3,0)+IF(K3&lt;&gt;"",K3,0),""))</f>
        <v/>
      </c>
      <c r="N3" s="18">
        <f>IF(OR(L3="",M3=""),"",IF(L3&gt;M3,D3,IF(M3&gt;L3,E3,"Draw")))</f>
        <v/>
      </c>
      <c r="O3" s="18">
        <f>IF(AND(D3="",E3=""),"",IF(AND(L3&lt;&gt;"",M3&lt;&gt;""),"Completed","Scheduled"))</f>
        <v/>
      </c>
    </row>
    <row r="4">
      <c r="A4" s="15" t="n"/>
      <c r="B4" s="16" t="n"/>
      <c r="C4" s="16" t="n"/>
      <c r="D4" s="17" t="n"/>
      <c r="E4" s="17" t="n"/>
      <c r="F4" s="16" t="n"/>
      <c r="G4" s="16" t="n"/>
      <c r="H4" s="16" t="n"/>
      <c r="I4" s="16" t="n"/>
      <c r="J4" s="16" t="n"/>
      <c r="K4" s="16" t="n"/>
      <c r="L4" s="18">
        <f>IF(AND(D4="",E4=""),"",IFERROR(IF(F4&lt;&gt;"",F4,0)+IF(H4&lt;&gt;"",H4,0)+IF(J4&lt;&gt;"",J4,0),""))</f>
        <v/>
      </c>
      <c r="M4" s="18">
        <f>IF(AND(D4="",E4=""),"",IFERROR(IF(G4&lt;&gt;"",G4,0)+IF(I4&lt;&gt;"",I4,0)+IF(K4&lt;&gt;"",K4,0),""))</f>
        <v/>
      </c>
      <c r="N4" s="18">
        <f>IF(OR(L4="",M4=""),"",IF(L4&gt;M4,D4,IF(M4&gt;L4,E4,"Draw")))</f>
        <v/>
      </c>
      <c r="O4" s="18">
        <f>IF(AND(D4="",E4=""),"",IF(AND(L4&lt;&gt;"",M4&lt;&gt;""),"Completed","Scheduled"))</f>
        <v/>
      </c>
    </row>
    <row r="5">
      <c r="A5" s="15" t="n"/>
      <c r="B5" s="16" t="n"/>
      <c r="C5" s="16" t="n"/>
      <c r="D5" s="17" t="n"/>
      <c r="E5" s="17" t="n"/>
      <c r="F5" s="16" t="n"/>
      <c r="G5" s="16" t="n"/>
      <c r="H5" s="16" t="n"/>
      <c r="I5" s="16" t="n"/>
      <c r="J5" s="16" t="n"/>
      <c r="K5" s="16" t="n"/>
      <c r="L5" s="18">
        <f>IF(AND(D5="",E5=""),"",IFERROR(IF(F5&lt;&gt;"",F5,0)+IF(H5&lt;&gt;"",H5,0)+IF(J5&lt;&gt;"",J5,0),""))</f>
        <v/>
      </c>
      <c r="M5" s="18">
        <f>IF(AND(D5="",E5=""),"",IFERROR(IF(G5&lt;&gt;"",G5,0)+IF(I5&lt;&gt;"",I5,0)+IF(K5&lt;&gt;"",K5,0),""))</f>
        <v/>
      </c>
      <c r="N5" s="18">
        <f>IF(OR(L5="",M5=""),"",IF(L5&gt;M5,D5,IF(M5&gt;L5,E5,"Draw")))</f>
        <v/>
      </c>
      <c r="O5" s="18">
        <f>IF(AND(D5="",E5=""),"",IF(AND(L5&lt;&gt;"",M5&lt;&gt;""),"Completed","Scheduled"))</f>
        <v/>
      </c>
    </row>
    <row r="6">
      <c r="A6" s="15" t="n"/>
      <c r="B6" s="16" t="n"/>
      <c r="C6" s="16" t="n"/>
      <c r="D6" s="17" t="n"/>
      <c r="E6" s="17" t="n"/>
      <c r="F6" s="16" t="n"/>
      <c r="G6" s="16" t="n"/>
      <c r="H6" s="16" t="n"/>
      <c r="I6" s="16" t="n"/>
      <c r="J6" s="16" t="n"/>
      <c r="K6" s="16" t="n"/>
      <c r="L6" s="18">
        <f>IF(AND(D6="",E6=""),"",IFERROR(IF(F6&lt;&gt;"",F6,0)+IF(H6&lt;&gt;"",H6,0)+IF(J6&lt;&gt;"",J6,0),""))</f>
        <v/>
      </c>
      <c r="M6" s="18">
        <f>IF(AND(D6="",E6=""),"",IFERROR(IF(G6&lt;&gt;"",G6,0)+IF(I6&lt;&gt;"",I6,0)+IF(K6&lt;&gt;"",K6,0),""))</f>
        <v/>
      </c>
      <c r="N6" s="18">
        <f>IF(OR(L6="",M6=""),"",IF(L6&gt;M6,D6,IF(M6&gt;L6,E6,"Draw")))</f>
        <v/>
      </c>
      <c r="O6" s="18">
        <f>IF(AND(D6="",E6=""),"",IF(AND(L6&lt;&gt;"",M6&lt;&gt;""),"Completed","Scheduled"))</f>
        <v/>
      </c>
    </row>
    <row r="7">
      <c r="A7" s="15" t="n"/>
      <c r="B7" s="16" t="n"/>
      <c r="C7" s="16" t="n"/>
      <c r="D7" s="17" t="n"/>
      <c r="E7" s="17" t="n"/>
      <c r="F7" s="16" t="n"/>
      <c r="G7" s="16" t="n"/>
      <c r="H7" s="16" t="n"/>
      <c r="I7" s="16" t="n"/>
      <c r="J7" s="16" t="n"/>
      <c r="K7" s="16" t="n"/>
      <c r="L7" s="18">
        <f>IF(AND(D7="",E7=""),"",IFERROR(IF(F7&lt;&gt;"",F7,0)+IF(H7&lt;&gt;"",H7,0)+IF(J7&lt;&gt;"",J7,0),""))</f>
        <v/>
      </c>
      <c r="M7" s="18">
        <f>IF(AND(D7="",E7=""),"",IFERROR(IF(G7&lt;&gt;"",G7,0)+IF(I7&lt;&gt;"",I7,0)+IF(K7&lt;&gt;"",K7,0),""))</f>
        <v/>
      </c>
      <c r="N7" s="18">
        <f>IF(OR(L7="",M7=""),"",IF(L7&gt;M7,D7,IF(M7&gt;L7,E7,"Draw")))</f>
        <v/>
      </c>
      <c r="O7" s="18">
        <f>IF(AND(D7="",E7=""),"",IF(AND(L7&lt;&gt;"",M7&lt;&gt;""),"Completed","Scheduled"))</f>
        <v/>
      </c>
    </row>
    <row r="8">
      <c r="A8" s="15" t="n"/>
      <c r="B8" s="16" t="n"/>
      <c r="C8" s="16" t="n"/>
      <c r="D8" s="17" t="n"/>
      <c r="E8" s="17" t="n"/>
      <c r="F8" s="16" t="n"/>
      <c r="G8" s="16" t="n"/>
      <c r="H8" s="16" t="n"/>
      <c r="I8" s="16" t="n"/>
      <c r="J8" s="16" t="n"/>
      <c r="K8" s="16" t="n"/>
      <c r="L8" s="18">
        <f>IF(AND(D8="",E8=""),"",IFERROR(IF(F8&lt;&gt;"",F8,0)+IF(H8&lt;&gt;"",H8,0)+IF(J8&lt;&gt;"",J8,0),""))</f>
        <v/>
      </c>
      <c r="M8" s="18">
        <f>IF(AND(D8="",E8=""),"",IFERROR(IF(G8&lt;&gt;"",G8,0)+IF(I8&lt;&gt;"",I8,0)+IF(K8&lt;&gt;"",K8,0),""))</f>
        <v/>
      </c>
      <c r="N8" s="18">
        <f>IF(OR(L8="",M8=""),"",IF(L8&gt;M8,D8,IF(M8&gt;L8,E8,"Draw")))</f>
        <v/>
      </c>
      <c r="O8" s="18">
        <f>IF(AND(D8="",E8=""),"",IF(AND(L8&lt;&gt;"",M8&lt;&gt;""),"Completed","Scheduled"))</f>
        <v/>
      </c>
    </row>
    <row r="9">
      <c r="A9" s="15" t="n"/>
      <c r="B9" s="16" t="n"/>
      <c r="C9" s="16" t="n"/>
      <c r="D9" s="17" t="n"/>
      <c r="E9" s="17" t="n"/>
      <c r="F9" s="16" t="n"/>
      <c r="G9" s="16" t="n"/>
      <c r="H9" s="16" t="n"/>
      <c r="I9" s="16" t="n"/>
      <c r="J9" s="16" t="n"/>
      <c r="K9" s="16" t="n"/>
      <c r="L9" s="18">
        <f>IF(AND(D9="",E9=""),"",IFERROR(IF(F9&lt;&gt;"",F9,0)+IF(H9&lt;&gt;"",H9,0)+IF(J9&lt;&gt;"",J9,0),""))</f>
        <v/>
      </c>
      <c r="M9" s="18">
        <f>IF(AND(D9="",E9=""),"",IFERROR(IF(G9&lt;&gt;"",G9,0)+IF(I9&lt;&gt;"",I9,0)+IF(K9&lt;&gt;"",K9,0),""))</f>
        <v/>
      </c>
      <c r="N9" s="18">
        <f>IF(OR(L9="",M9=""),"",IF(L9&gt;M9,D9,IF(M9&gt;L9,E9,"Draw")))</f>
        <v/>
      </c>
      <c r="O9" s="18">
        <f>IF(AND(D9="",E9=""),"",IF(AND(L9&lt;&gt;"",M9&lt;&gt;""),"Completed","Scheduled"))</f>
        <v/>
      </c>
    </row>
    <row r="10">
      <c r="A10" s="15" t="n"/>
      <c r="B10" s="16" t="n"/>
      <c r="C10" s="16" t="n"/>
      <c r="D10" s="17" t="n"/>
      <c r="E10" s="17" t="n"/>
      <c r="F10" s="16" t="n"/>
      <c r="G10" s="16" t="n"/>
      <c r="H10" s="16" t="n"/>
      <c r="I10" s="16" t="n"/>
      <c r="J10" s="16" t="n"/>
      <c r="K10" s="16" t="n"/>
      <c r="L10" s="18">
        <f>IF(AND(D10="",E10=""),"",IFERROR(IF(F10&lt;&gt;"",F10,0)+IF(H10&lt;&gt;"",H10,0)+IF(J10&lt;&gt;"",J10,0),""))</f>
        <v/>
      </c>
      <c r="M10" s="18">
        <f>IF(AND(D10="",E10=""),"",IFERROR(IF(G10&lt;&gt;"",G10,0)+IF(I10&lt;&gt;"",I10,0)+IF(K10&lt;&gt;"",K10,0),""))</f>
        <v/>
      </c>
      <c r="N10" s="18">
        <f>IF(OR(L10="",M10=""),"",IF(L10&gt;M10,D10,IF(M10&gt;L10,E10,"Draw")))</f>
        <v/>
      </c>
      <c r="O10" s="18">
        <f>IF(AND(D10="",E10=""),"",IF(AND(L10&lt;&gt;"",M10&lt;&gt;""),"Completed","Scheduled"))</f>
        <v/>
      </c>
    </row>
    <row r="11">
      <c r="A11" s="15" t="n"/>
      <c r="B11" s="16" t="n"/>
      <c r="C11" s="16" t="n"/>
      <c r="D11" s="17" t="n"/>
      <c r="E11" s="17" t="n"/>
      <c r="F11" s="16" t="n"/>
      <c r="G11" s="16" t="n"/>
      <c r="H11" s="16" t="n"/>
      <c r="I11" s="16" t="n"/>
      <c r="J11" s="16" t="n"/>
      <c r="K11" s="16" t="n"/>
      <c r="L11" s="18">
        <f>IF(AND(D11="",E11=""),"",IFERROR(IF(F11&lt;&gt;"",F11,0)+IF(H11&lt;&gt;"",H11,0)+IF(J11&lt;&gt;"",J11,0),""))</f>
        <v/>
      </c>
      <c r="M11" s="18">
        <f>IF(AND(D11="",E11=""),"",IFERROR(IF(G11&lt;&gt;"",G11,0)+IF(I11&lt;&gt;"",I11,0)+IF(K11&lt;&gt;"",K11,0),""))</f>
        <v/>
      </c>
      <c r="N11" s="18">
        <f>IF(OR(L11="",M11=""),"",IF(L11&gt;M11,D11,IF(M11&gt;L11,E11,"Draw")))</f>
        <v/>
      </c>
      <c r="O11" s="18">
        <f>IF(AND(D11="",E11=""),"",IF(AND(L11&lt;&gt;"",M11&lt;&gt;""),"Completed","Scheduled"))</f>
        <v/>
      </c>
    </row>
    <row r="12">
      <c r="A12" s="15" t="n"/>
      <c r="B12" s="16" t="n"/>
      <c r="C12" s="16" t="n"/>
      <c r="D12" s="17" t="n"/>
      <c r="E12" s="17" t="n"/>
      <c r="F12" s="16" t="n"/>
      <c r="G12" s="16" t="n"/>
      <c r="H12" s="16" t="n"/>
      <c r="I12" s="16" t="n"/>
      <c r="J12" s="16" t="n"/>
      <c r="K12" s="16" t="n"/>
      <c r="L12" s="18">
        <f>IF(AND(D12="",E12=""),"",IFERROR(IF(F12&lt;&gt;"",F12,0)+IF(H12&lt;&gt;"",H12,0)+IF(J12&lt;&gt;"",J12,0),""))</f>
        <v/>
      </c>
      <c r="M12" s="18">
        <f>IF(AND(D12="",E12=""),"",IFERROR(IF(G12&lt;&gt;"",G12,0)+IF(I12&lt;&gt;"",I12,0)+IF(K12&lt;&gt;"",K12,0),""))</f>
        <v/>
      </c>
      <c r="N12" s="18">
        <f>IF(OR(L12="",M12=""),"",IF(L12&gt;M12,D12,IF(M12&gt;L12,E12,"Draw")))</f>
        <v/>
      </c>
      <c r="O12" s="18">
        <f>IF(AND(D12="",E12=""),"",IF(AND(L12&lt;&gt;"",M12&lt;&gt;""),"Completed","Scheduled"))</f>
        <v/>
      </c>
    </row>
    <row r="13">
      <c r="A13" s="15" t="n"/>
      <c r="B13" s="16" t="n"/>
      <c r="C13" s="16" t="n"/>
      <c r="D13" s="17" t="n"/>
      <c r="E13" s="17" t="n"/>
      <c r="F13" s="16" t="n"/>
      <c r="G13" s="16" t="n"/>
      <c r="H13" s="16" t="n"/>
      <c r="I13" s="16" t="n"/>
      <c r="J13" s="16" t="n"/>
      <c r="K13" s="16" t="n"/>
      <c r="L13" s="18">
        <f>IF(AND(D13="",E13=""),"",IFERROR(IF(F13&lt;&gt;"",F13,0)+IF(H13&lt;&gt;"",H13,0)+IF(J13&lt;&gt;"",J13,0),""))</f>
        <v/>
      </c>
      <c r="M13" s="18">
        <f>IF(AND(D13="",E13=""),"",IFERROR(IF(G13&lt;&gt;"",G13,0)+IF(I13&lt;&gt;"",I13,0)+IF(K13&lt;&gt;"",K13,0),""))</f>
        <v/>
      </c>
      <c r="N13" s="18">
        <f>IF(OR(L13="",M13=""),"",IF(L13&gt;M13,D13,IF(M13&gt;L13,E13,"Draw")))</f>
        <v/>
      </c>
      <c r="O13" s="18">
        <f>IF(AND(D13="",E13=""),"",IF(AND(L13&lt;&gt;"",M13&lt;&gt;""),"Completed","Scheduled"))</f>
        <v/>
      </c>
    </row>
    <row r="14">
      <c r="A14" s="15" t="n"/>
      <c r="B14" s="16" t="n"/>
      <c r="C14" s="16" t="n"/>
      <c r="D14" s="17" t="n"/>
      <c r="E14" s="17" t="n"/>
      <c r="F14" s="16" t="n"/>
      <c r="G14" s="16" t="n"/>
      <c r="H14" s="16" t="n"/>
      <c r="I14" s="16" t="n"/>
      <c r="J14" s="16" t="n"/>
      <c r="K14" s="16" t="n"/>
      <c r="L14" s="18">
        <f>IF(AND(D14="",E14=""),"",IFERROR(IF(F14&lt;&gt;"",F14,0)+IF(H14&lt;&gt;"",H14,0)+IF(J14&lt;&gt;"",J14,0),""))</f>
        <v/>
      </c>
      <c r="M14" s="18">
        <f>IF(AND(D14="",E14=""),"",IFERROR(IF(G14&lt;&gt;"",G14,0)+IF(I14&lt;&gt;"",I14,0)+IF(K14&lt;&gt;"",K14,0),""))</f>
        <v/>
      </c>
      <c r="N14" s="18">
        <f>IF(OR(L14="",M14=""),"",IF(L14&gt;M14,D14,IF(M14&gt;L14,E14,"Draw")))</f>
        <v/>
      </c>
      <c r="O14" s="18">
        <f>IF(AND(D14="",E14=""),"",IF(AND(L14&lt;&gt;"",M14&lt;&gt;""),"Completed","Scheduled"))</f>
        <v/>
      </c>
    </row>
    <row r="15">
      <c r="A15" s="15" t="n"/>
      <c r="B15" s="16" t="n"/>
      <c r="C15" s="16" t="n"/>
      <c r="D15" s="17" t="n"/>
      <c r="E15" s="17" t="n"/>
      <c r="F15" s="16" t="n"/>
      <c r="G15" s="16" t="n"/>
      <c r="H15" s="16" t="n"/>
      <c r="I15" s="16" t="n"/>
      <c r="J15" s="16" t="n"/>
      <c r="K15" s="16" t="n"/>
      <c r="L15" s="18">
        <f>IF(AND(D15="",E15=""),"",IFERROR(IF(F15&lt;&gt;"",F15,0)+IF(H15&lt;&gt;"",H15,0)+IF(J15&lt;&gt;"",J15,0),""))</f>
        <v/>
      </c>
      <c r="M15" s="18">
        <f>IF(AND(D15="",E15=""),"",IFERROR(IF(G15&lt;&gt;"",G15,0)+IF(I15&lt;&gt;"",I15,0)+IF(K15&lt;&gt;"",K15,0),""))</f>
        <v/>
      </c>
      <c r="N15" s="18">
        <f>IF(OR(L15="",M15=""),"",IF(L15&gt;M15,D15,IF(M15&gt;L15,E15,"Draw")))</f>
        <v/>
      </c>
      <c r="O15" s="18">
        <f>IF(AND(D15="",E15=""),"",IF(AND(L15&lt;&gt;"",M15&lt;&gt;""),"Completed","Scheduled"))</f>
        <v/>
      </c>
    </row>
    <row r="16">
      <c r="A16" s="15" t="n"/>
      <c r="B16" s="16" t="n"/>
      <c r="C16" s="16" t="n"/>
      <c r="D16" s="17" t="n"/>
      <c r="E16" s="17" t="n"/>
      <c r="F16" s="16" t="n"/>
      <c r="G16" s="16" t="n"/>
      <c r="H16" s="16" t="n"/>
      <c r="I16" s="16" t="n"/>
      <c r="J16" s="16" t="n"/>
      <c r="K16" s="16" t="n"/>
      <c r="L16" s="18">
        <f>IF(AND(D16="",E16=""),"",IFERROR(IF(F16&lt;&gt;"",F16,0)+IF(H16&lt;&gt;"",H16,0)+IF(J16&lt;&gt;"",J16,0),""))</f>
        <v/>
      </c>
      <c r="M16" s="18">
        <f>IF(AND(D16="",E16=""),"",IFERROR(IF(G16&lt;&gt;"",G16,0)+IF(I16&lt;&gt;"",I16,0)+IF(K16&lt;&gt;"",K16,0),""))</f>
        <v/>
      </c>
      <c r="N16" s="18">
        <f>IF(OR(L16="",M16=""),"",IF(L16&gt;M16,D16,IF(M16&gt;L16,E16,"Draw")))</f>
        <v/>
      </c>
      <c r="O16" s="18">
        <f>IF(AND(D16="",E16=""),"",IF(AND(L16&lt;&gt;"",M16&lt;&gt;""),"Completed","Scheduled"))</f>
        <v/>
      </c>
    </row>
    <row r="17">
      <c r="A17" s="15" t="n"/>
      <c r="B17" s="16" t="n"/>
      <c r="C17" s="16" t="n"/>
      <c r="D17" s="17" t="n"/>
      <c r="E17" s="17" t="n"/>
      <c r="F17" s="16" t="n"/>
      <c r="G17" s="16" t="n"/>
      <c r="H17" s="16" t="n"/>
      <c r="I17" s="16" t="n"/>
      <c r="J17" s="16" t="n"/>
      <c r="K17" s="16" t="n"/>
      <c r="L17" s="18">
        <f>IF(AND(D17="",E17=""),"",IFERROR(IF(F17&lt;&gt;"",F17,0)+IF(H17&lt;&gt;"",H17,0)+IF(J17&lt;&gt;"",J17,0),""))</f>
        <v/>
      </c>
      <c r="M17" s="18">
        <f>IF(AND(D17="",E17=""),"",IFERROR(IF(G17&lt;&gt;"",G17,0)+IF(I17&lt;&gt;"",I17,0)+IF(K17&lt;&gt;"",K17,0),""))</f>
        <v/>
      </c>
      <c r="N17" s="18">
        <f>IF(OR(L17="",M17=""),"",IF(L17&gt;M17,D17,IF(M17&gt;L17,E17,"Draw")))</f>
        <v/>
      </c>
      <c r="O17" s="18">
        <f>IF(AND(D17="",E17=""),"",IF(AND(L17&lt;&gt;"",M17&lt;&gt;""),"Completed","Scheduled"))</f>
        <v/>
      </c>
    </row>
    <row r="18">
      <c r="A18" s="15" t="n"/>
      <c r="B18" s="16" t="n"/>
      <c r="C18" s="16" t="n"/>
      <c r="D18" s="17" t="n"/>
      <c r="E18" s="17" t="n"/>
      <c r="F18" s="16" t="n"/>
      <c r="G18" s="16" t="n"/>
      <c r="H18" s="16" t="n"/>
      <c r="I18" s="16" t="n"/>
      <c r="J18" s="16" t="n"/>
      <c r="K18" s="16" t="n"/>
      <c r="L18" s="18">
        <f>IF(AND(D18="",E18=""),"",IFERROR(IF(F18&lt;&gt;"",F18,0)+IF(H18&lt;&gt;"",H18,0)+IF(J18&lt;&gt;"",J18,0),""))</f>
        <v/>
      </c>
      <c r="M18" s="18">
        <f>IF(AND(D18="",E18=""),"",IFERROR(IF(G18&lt;&gt;"",G18,0)+IF(I18&lt;&gt;"",I18,0)+IF(K18&lt;&gt;"",K18,0),""))</f>
        <v/>
      </c>
      <c r="N18" s="18">
        <f>IF(OR(L18="",M18=""),"",IF(L18&gt;M18,D18,IF(M18&gt;L18,E18,"Draw")))</f>
        <v/>
      </c>
      <c r="O18" s="18">
        <f>IF(AND(D18="",E18=""),"",IF(AND(L18&lt;&gt;"",M18&lt;&gt;""),"Completed","Scheduled"))</f>
        <v/>
      </c>
    </row>
    <row r="19">
      <c r="A19" s="15" t="n"/>
      <c r="B19" s="16" t="n"/>
      <c r="C19" s="16" t="n"/>
      <c r="D19" s="17" t="n"/>
      <c r="E19" s="17" t="n"/>
      <c r="F19" s="16" t="n"/>
      <c r="G19" s="16" t="n"/>
      <c r="H19" s="16" t="n"/>
      <c r="I19" s="16" t="n"/>
      <c r="J19" s="16" t="n"/>
      <c r="K19" s="16" t="n"/>
      <c r="L19" s="18">
        <f>IF(AND(D19="",E19=""),"",IFERROR(IF(F19&lt;&gt;"",F19,0)+IF(H19&lt;&gt;"",H19,0)+IF(J19&lt;&gt;"",J19,0),""))</f>
        <v/>
      </c>
      <c r="M19" s="18">
        <f>IF(AND(D19="",E19=""),"",IFERROR(IF(G19&lt;&gt;"",G19,0)+IF(I19&lt;&gt;"",I19,0)+IF(K19&lt;&gt;"",K19,0),""))</f>
        <v/>
      </c>
      <c r="N19" s="18">
        <f>IF(OR(L19="",M19=""),"",IF(L19&gt;M19,D19,IF(M19&gt;L19,E19,"Draw")))</f>
        <v/>
      </c>
      <c r="O19" s="18">
        <f>IF(AND(D19="",E19=""),"",IF(AND(L19&lt;&gt;"",M19&lt;&gt;""),"Completed","Scheduled"))</f>
        <v/>
      </c>
    </row>
    <row r="20">
      <c r="A20" s="15" t="n"/>
      <c r="B20" s="16" t="n"/>
      <c r="C20" s="16" t="n"/>
      <c r="D20" s="17" t="n"/>
      <c r="E20" s="17" t="n"/>
      <c r="F20" s="16" t="n"/>
      <c r="G20" s="16" t="n"/>
      <c r="H20" s="16" t="n"/>
      <c r="I20" s="16" t="n"/>
      <c r="J20" s="16" t="n"/>
      <c r="K20" s="16" t="n"/>
      <c r="L20" s="18">
        <f>IF(AND(D20="",E20=""),"",IFERROR(IF(F20&lt;&gt;"",F20,0)+IF(H20&lt;&gt;"",H20,0)+IF(J20&lt;&gt;"",J20,0),""))</f>
        <v/>
      </c>
      <c r="M20" s="18">
        <f>IF(AND(D20="",E20=""),"",IFERROR(IF(G20&lt;&gt;"",G20,0)+IF(I20&lt;&gt;"",I20,0)+IF(K20&lt;&gt;"",K20,0),""))</f>
        <v/>
      </c>
      <c r="N20" s="18">
        <f>IF(OR(L20="",M20=""),"",IF(L20&gt;M20,D20,IF(M20&gt;L20,E20,"Draw")))</f>
        <v/>
      </c>
      <c r="O20" s="18">
        <f>IF(AND(D20="",E20=""),"",IF(AND(L20&lt;&gt;"",M20&lt;&gt;""),"Completed","Scheduled"))</f>
        <v/>
      </c>
    </row>
    <row r="21">
      <c r="A21" s="15" t="n"/>
      <c r="B21" s="16" t="n"/>
      <c r="C21" s="16" t="n"/>
      <c r="D21" s="17" t="n"/>
      <c r="E21" s="17" t="n"/>
      <c r="F21" s="16" t="n"/>
      <c r="G21" s="16" t="n"/>
      <c r="H21" s="16" t="n"/>
      <c r="I21" s="16" t="n"/>
      <c r="J21" s="16" t="n"/>
      <c r="K21" s="16" t="n"/>
      <c r="L21" s="18">
        <f>IF(AND(D21="",E21=""),"",IFERROR(IF(F21&lt;&gt;"",F21,0)+IF(H21&lt;&gt;"",H21,0)+IF(J21&lt;&gt;"",J21,0),""))</f>
        <v/>
      </c>
      <c r="M21" s="18">
        <f>IF(AND(D21="",E21=""),"",IFERROR(IF(G21&lt;&gt;"",G21,0)+IF(I21&lt;&gt;"",I21,0)+IF(K21&lt;&gt;"",K21,0),""))</f>
        <v/>
      </c>
      <c r="N21" s="18">
        <f>IF(OR(L21="",M21=""),"",IF(L21&gt;M21,D21,IF(M21&gt;L21,E21,"Draw")))</f>
        <v/>
      </c>
      <c r="O21" s="18">
        <f>IF(AND(D21="",E21=""),"",IF(AND(L21&lt;&gt;"",M21&lt;&gt;""),"Completed","Scheduled"))</f>
        <v/>
      </c>
    </row>
    <row r="22">
      <c r="A22" s="15" t="n"/>
      <c r="B22" s="16" t="n"/>
      <c r="C22" s="16" t="n"/>
      <c r="D22" s="17" t="n"/>
      <c r="E22" s="17" t="n"/>
      <c r="F22" s="16" t="n"/>
      <c r="G22" s="16" t="n"/>
      <c r="H22" s="16" t="n"/>
      <c r="I22" s="16" t="n"/>
      <c r="J22" s="16" t="n"/>
      <c r="K22" s="16" t="n"/>
      <c r="L22" s="18">
        <f>IF(AND(D22="",E22=""),"",IFERROR(IF(F22&lt;&gt;"",F22,0)+IF(H22&lt;&gt;"",H22,0)+IF(J22&lt;&gt;"",J22,0),""))</f>
        <v/>
      </c>
      <c r="M22" s="18">
        <f>IF(AND(D22="",E22=""),"",IFERROR(IF(G22&lt;&gt;"",G22,0)+IF(I22&lt;&gt;"",I22,0)+IF(K22&lt;&gt;"",K22,0),""))</f>
        <v/>
      </c>
      <c r="N22" s="18">
        <f>IF(OR(L22="",M22=""),"",IF(L22&gt;M22,D22,IF(M22&gt;L22,E22,"Draw")))</f>
        <v/>
      </c>
      <c r="O22" s="18">
        <f>IF(AND(D22="",E22=""),"",IF(AND(L22&lt;&gt;"",M22&lt;&gt;""),"Completed","Scheduled"))</f>
        <v/>
      </c>
    </row>
    <row r="23">
      <c r="A23" s="15" t="n"/>
      <c r="B23" s="16" t="n"/>
      <c r="C23" s="16" t="n"/>
      <c r="D23" s="17" t="n"/>
      <c r="E23" s="17" t="n"/>
      <c r="F23" s="16" t="n"/>
      <c r="G23" s="16" t="n"/>
      <c r="H23" s="16" t="n"/>
      <c r="I23" s="16" t="n"/>
      <c r="J23" s="16" t="n"/>
      <c r="K23" s="16" t="n"/>
      <c r="L23" s="18">
        <f>IF(AND(D23="",E23=""),"",IFERROR(IF(F23&lt;&gt;"",F23,0)+IF(H23&lt;&gt;"",H23,0)+IF(J23&lt;&gt;"",J23,0),""))</f>
        <v/>
      </c>
      <c r="M23" s="18">
        <f>IF(AND(D23="",E23=""),"",IFERROR(IF(G23&lt;&gt;"",G23,0)+IF(I23&lt;&gt;"",I23,0)+IF(K23&lt;&gt;"",K23,0),""))</f>
        <v/>
      </c>
      <c r="N23" s="18">
        <f>IF(OR(L23="",M23=""),"",IF(L23&gt;M23,D23,IF(M23&gt;L23,E23,"Draw")))</f>
        <v/>
      </c>
      <c r="O23" s="18">
        <f>IF(AND(D23="",E23=""),"",IF(AND(L23&lt;&gt;"",M23&lt;&gt;""),"Completed","Scheduled"))</f>
        <v/>
      </c>
    </row>
    <row r="24">
      <c r="A24" s="15" t="n"/>
      <c r="B24" s="16" t="n"/>
      <c r="C24" s="16" t="n"/>
      <c r="D24" s="17" t="n"/>
      <c r="E24" s="17" t="n"/>
      <c r="F24" s="16" t="n"/>
      <c r="G24" s="16" t="n"/>
      <c r="H24" s="16" t="n"/>
      <c r="I24" s="16" t="n"/>
      <c r="J24" s="16" t="n"/>
      <c r="K24" s="16" t="n"/>
      <c r="L24" s="18">
        <f>IF(AND(D24="",E24=""),"",IFERROR(IF(F24&lt;&gt;"",F24,0)+IF(H24&lt;&gt;"",H24,0)+IF(J24&lt;&gt;"",J24,0),""))</f>
        <v/>
      </c>
      <c r="M24" s="18">
        <f>IF(AND(D24="",E24=""),"",IFERROR(IF(G24&lt;&gt;"",G24,0)+IF(I24&lt;&gt;"",I24,0)+IF(K24&lt;&gt;"",K24,0),""))</f>
        <v/>
      </c>
      <c r="N24" s="18">
        <f>IF(OR(L24="",M24=""),"",IF(L24&gt;M24,D24,IF(M24&gt;L24,E24,"Draw")))</f>
        <v/>
      </c>
      <c r="O24" s="18">
        <f>IF(AND(D24="",E24=""),"",IF(AND(L24&lt;&gt;"",M24&lt;&gt;""),"Completed","Scheduled"))</f>
        <v/>
      </c>
    </row>
    <row r="25">
      <c r="A25" s="15" t="n"/>
      <c r="B25" s="16" t="n"/>
      <c r="C25" s="16" t="n"/>
      <c r="D25" s="17" t="n"/>
      <c r="E25" s="17" t="n"/>
      <c r="F25" s="16" t="n"/>
      <c r="G25" s="16" t="n"/>
      <c r="H25" s="16" t="n"/>
      <c r="I25" s="16" t="n"/>
      <c r="J25" s="16" t="n"/>
      <c r="K25" s="16" t="n"/>
      <c r="L25" s="18">
        <f>IF(AND(D25="",E25=""),"",IFERROR(IF(F25&lt;&gt;"",F25,0)+IF(H25&lt;&gt;"",H25,0)+IF(J25&lt;&gt;"",J25,0),""))</f>
        <v/>
      </c>
      <c r="M25" s="18">
        <f>IF(AND(D25="",E25=""),"",IFERROR(IF(G25&lt;&gt;"",G25,0)+IF(I25&lt;&gt;"",I25,0)+IF(K25&lt;&gt;"",K25,0),""))</f>
        <v/>
      </c>
      <c r="N25" s="18">
        <f>IF(OR(L25="",M25=""),"",IF(L25&gt;M25,D25,IF(M25&gt;L25,E25,"Draw")))</f>
        <v/>
      </c>
      <c r="O25" s="18">
        <f>IF(AND(D25="",E25=""),"",IF(AND(L25&lt;&gt;"",M25&lt;&gt;""),"Completed","Scheduled"))</f>
        <v/>
      </c>
    </row>
    <row r="26">
      <c r="A26" s="15" t="n"/>
      <c r="B26" s="16" t="n"/>
      <c r="C26" s="16" t="n"/>
      <c r="D26" s="17" t="n"/>
      <c r="E26" s="17" t="n"/>
      <c r="F26" s="16" t="n"/>
      <c r="G26" s="16" t="n"/>
      <c r="H26" s="16" t="n"/>
      <c r="I26" s="16" t="n"/>
      <c r="J26" s="16" t="n"/>
      <c r="K26" s="16" t="n"/>
      <c r="L26" s="18">
        <f>IF(AND(D26="",E26=""),"",IFERROR(IF(F26&lt;&gt;"",F26,0)+IF(H26&lt;&gt;"",H26,0)+IF(J26&lt;&gt;"",J26,0),""))</f>
        <v/>
      </c>
      <c r="M26" s="18">
        <f>IF(AND(D26="",E26=""),"",IFERROR(IF(G26&lt;&gt;"",G26,0)+IF(I26&lt;&gt;"",I26,0)+IF(K26&lt;&gt;"",K26,0),""))</f>
        <v/>
      </c>
      <c r="N26" s="18">
        <f>IF(OR(L26="",M26=""),"",IF(L26&gt;M26,D26,IF(M26&gt;L26,E26,"Draw")))</f>
        <v/>
      </c>
      <c r="O26" s="18">
        <f>IF(AND(D26="",E26=""),"",IF(AND(L26&lt;&gt;"",M26&lt;&gt;""),"Completed","Scheduled"))</f>
        <v/>
      </c>
    </row>
    <row r="27">
      <c r="A27" s="15" t="n"/>
      <c r="B27" s="16" t="n"/>
      <c r="C27" s="16" t="n"/>
      <c r="D27" s="17" t="n"/>
      <c r="E27" s="17" t="n"/>
      <c r="F27" s="16" t="n"/>
      <c r="G27" s="16" t="n"/>
      <c r="H27" s="16" t="n"/>
      <c r="I27" s="16" t="n"/>
      <c r="J27" s="16" t="n"/>
      <c r="K27" s="16" t="n"/>
      <c r="L27" s="18">
        <f>IF(AND(D27="",E27=""),"",IFERROR(IF(F27&lt;&gt;"",F27,0)+IF(H27&lt;&gt;"",H27,0)+IF(J27&lt;&gt;"",J27,0),""))</f>
        <v/>
      </c>
      <c r="M27" s="18">
        <f>IF(AND(D27="",E27=""),"",IFERROR(IF(G27&lt;&gt;"",G27,0)+IF(I27&lt;&gt;"",I27,0)+IF(K27&lt;&gt;"",K27,0),""))</f>
        <v/>
      </c>
      <c r="N27" s="18">
        <f>IF(OR(L27="",M27=""),"",IF(L27&gt;M27,D27,IF(M27&gt;L27,E27,"Draw")))</f>
        <v/>
      </c>
      <c r="O27" s="18">
        <f>IF(AND(D27="",E27=""),"",IF(AND(L27&lt;&gt;"",M27&lt;&gt;""),"Completed","Scheduled"))</f>
        <v/>
      </c>
    </row>
    <row r="28">
      <c r="A28" s="15" t="n"/>
      <c r="B28" s="16" t="n"/>
      <c r="C28" s="16" t="n"/>
      <c r="D28" s="17" t="n"/>
      <c r="E28" s="17" t="n"/>
      <c r="F28" s="16" t="n"/>
      <c r="G28" s="16" t="n"/>
      <c r="H28" s="16" t="n"/>
      <c r="I28" s="16" t="n"/>
      <c r="J28" s="16" t="n"/>
      <c r="K28" s="16" t="n"/>
      <c r="L28" s="18">
        <f>IF(AND(D28="",E28=""),"",IFERROR(IF(F28&lt;&gt;"",F28,0)+IF(H28&lt;&gt;"",H28,0)+IF(J28&lt;&gt;"",J28,0),""))</f>
        <v/>
      </c>
      <c r="M28" s="18">
        <f>IF(AND(D28="",E28=""),"",IFERROR(IF(G28&lt;&gt;"",G28,0)+IF(I28&lt;&gt;"",I28,0)+IF(K28&lt;&gt;"",K28,0),""))</f>
        <v/>
      </c>
      <c r="N28" s="18">
        <f>IF(OR(L28="",M28=""),"",IF(L28&gt;M28,D28,IF(M28&gt;L28,E28,"Draw")))</f>
        <v/>
      </c>
      <c r="O28" s="18">
        <f>IF(AND(D28="",E28=""),"",IF(AND(L28&lt;&gt;"",M28&lt;&gt;""),"Completed","Scheduled"))</f>
        <v/>
      </c>
    </row>
    <row r="29">
      <c r="A29" s="15" t="n"/>
      <c r="B29" s="16" t="n"/>
      <c r="C29" s="16" t="n"/>
      <c r="D29" s="17" t="n"/>
      <c r="E29" s="17" t="n"/>
      <c r="F29" s="16" t="n"/>
      <c r="G29" s="16" t="n"/>
      <c r="H29" s="16" t="n"/>
      <c r="I29" s="16" t="n"/>
      <c r="J29" s="16" t="n"/>
      <c r="K29" s="16" t="n"/>
      <c r="L29" s="18">
        <f>IF(AND(D29="",E29=""),"",IFERROR(IF(F29&lt;&gt;"",F29,0)+IF(H29&lt;&gt;"",H29,0)+IF(J29&lt;&gt;"",J29,0),""))</f>
        <v/>
      </c>
      <c r="M29" s="18">
        <f>IF(AND(D29="",E29=""),"",IFERROR(IF(G29&lt;&gt;"",G29,0)+IF(I29&lt;&gt;"",I29,0)+IF(K29&lt;&gt;"",K29,0),""))</f>
        <v/>
      </c>
      <c r="N29" s="18">
        <f>IF(OR(L29="",M29=""),"",IF(L29&gt;M29,D29,IF(M29&gt;L29,E29,"Draw")))</f>
        <v/>
      </c>
      <c r="O29" s="18">
        <f>IF(AND(D29="",E29=""),"",IF(AND(L29&lt;&gt;"",M29&lt;&gt;""),"Completed","Scheduled"))</f>
        <v/>
      </c>
    </row>
    <row r="30">
      <c r="A30" s="15" t="n"/>
      <c r="B30" s="16" t="n"/>
      <c r="C30" s="16" t="n"/>
      <c r="D30" s="17" t="n"/>
      <c r="E30" s="17" t="n"/>
      <c r="F30" s="16" t="n"/>
      <c r="G30" s="16" t="n"/>
      <c r="H30" s="16" t="n"/>
      <c r="I30" s="16" t="n"/>
      <c r="J30" s="16" t="n"/>
      <c r="K30" s="16" t="n"/>
      <c r="L30" s="18">
        <f>IF(AND(D30="",E30=""),"",IFERROR(IF(F30&lt;&gt;"",F30,0)+IF(H30&lt;&gt;"",H30,0)+IF(J30&lt;&gt;"",J30,0),""))</f>
        <v/>
      </c>
      <c r="M30" s="18">
        <f>IF(AND(D30="",E30=""),"",IFERROR(IF(G30&lt;&gt;"",G30,0)+IF(I30&lt;&gt;"",I30,0)+IF(K30&lt;&gt;"",K30,0),""))</f>
        <v/>
      </c>
      <c r="N30" s="18">
        <f>IF(OR(L30="",M30=""),"",IF(L30&gt;M30,D30,IF(M30&gt;L30,E30,"Draw")))</f>
        <v/>
      </c>
      <c r="O30" s="18">
        <f>IF(AND(D30="",E30=""),"",IF(AND(L30&lt;&gt;"",M30&lt;&gt;""),"Completed","Scheduled"))</f>
        <v/>
      </c>
    </row>
    <row r="31">
      <c r="A31" s="15" t="n"/>
      <c r="B31" s="16" t="n"/>
      <c r="C31" s="16" t="n"/>
      <c r="D31" s="17" t="n"/>
      <c r="E31" s="17" t="n"/>
      <c r="F31" s="16" t="n"/>
      <c r="G31" s="16" t="n"/>
      <c r="H31" s="16" t="n"/>
      <c r="I31" s="16" t="n"/>
      <c r="J31" s="16" t="n"/>
      <c r="K31" s="16" t="n"/>
      <c r="L31" s="18">
        <f>IF(AND(D31="",E31=""),"",IFERROR(IF(F31&lt;&gt;"",F31,0)+IF(H31&lt;&gt;"",H31,0)+IF(J31&lt;&gt;"",J31,0),""))</f>
        <v/>
      </c>
      <c r="M31" s="18">
        <f>IF(AND(D31="",E31=""),"",IFERROR(IF(G31&lt;&gt;"",G31,0)+IF(I31&lt;&gt;"",I31,0)+IF(K31&lt;&gt;"",K31,0),""))</f>
        <v/>
      </c>
      <c r="N31" s="18">
        <f>IF(OR(L31="",M31=""),"",IF(L31&gt;M31,D31,IF(M31&gt;L31,E31,"Draw")))</f>
        <v/>
      </c>
      <c r="O31" s="18">
        <f>IF(AND(D31="",E31=""),"",IF(AND(L31&lt;&gt;"",M31&lt;&gt;""),"Completed","Scheduled"))</f>
        <v/>
      </c>
    </row>
    <row r="32">
      <c r="A32" s="15" t="n"/>
      <c r="B32" s="16" t="n"/>
      <c r="C32" s="16" t="n"/>
      <c r="D32" s="17" t="n"/>
      <c r="E32" s="17" t="n"/>
      <c r="F32" s="16" t="n"/>
      <c r="G32" s="16" t="n"/>
      <c r="H32" s="16" t="n"/>
      <c r="I32" s="16" t="n"/>
      <c r="J32" s="16" t="n"/>
      <c r="K32" s="16" t="n"/>
      <c r="L32" s="18">
        <f>IF(AND(D32="",E32=""),"",IFERROR(IF(F32&lt;&gt;"",F32,0)+IF(H32&lt;&gt;"",H32,0)+IF(J32&lt;&gt;"",J32,0),""))</f>
        <v/>
      </c>
      <c r="M32" s="18">
        <f>IF(AND(D32="",E32=""),"",IFERROR(IF(G32&lt;&gt;"",G32,0)+IF(I32&lt;&gt;"",I32,0)+IF(K32&lt;&gt;"",K32,0),""))</f>
        <v/>
      </c>
      <c r="N32" s="18">
        <f>IF(OR(L32="",M32=""),"",IF(L32&gt;M32,D32,IF(M32&gt;L32,E32,"Draw")))</f>
        <v/>
      </c>
      <c r="O32" s="18">
        <f>IF(AND(D32="",E32=""),"",IF(AND(L32&lt;&gt;"",M32&lt;&gt;""),"Completed","Scheduled"))</f>
        <v/>
      </c>
    </row>
    <row r="33">
      <c r="A33" s="15" t="n"/>
      <c r="B33" s="16" t="n"/>
      <c r="C33" s="16" t="n"/>
      <c r="D33" s="17" t="n"/>
      <c r="E33" s="17" t="n"/>
      <c r="F33" s="16" t="n"/>
      <c r="G33" s="16" t="n"/>
      <c r="H33" s="16" t="n"/>
      <c r="I33" s="16" t="n"/>
      <c r="J33" s="16" t="n"/>
      <c r="K33" s="16" t="n"/>
      <c r="L33" s="18">
        <f>IF(AND(D33="",E33=""),"",IFERROR(IF(F33&lt;&gt;"",F33,0)+IF(H33&lt;&gt;"",H33,0)+IF(J33&lt;&gt;"",J33,0),""))</f>
        <v/>
      </c>
      <c r="M33" s="18">
        <f>IF(AND(D33="",E33=""),"",IFERROR(IF(G33&lt;&gt;"",G33,0)+IF(I33&lt;&gt;"",I33,0)+IF(K33&lt;&gt;"",K33,0),""))</f>
        <v/>
      </c>
      <c r="N33" s="18">
        <f>IF(OR(L33="",M33=""),"",IF(L33&gt;M33,D33,IF(M33&gt;L33,E33,"Draw")))</f>
        <v/>
      </c>
      <c r="O33" s="18">
        <f>IF(AND(D33="",E33=""),"",IF(AND(L33&lt;&gt;"",M33&lt;&gt;""),"Completed","Scheduled"))</f>
        <v/>
      </c>
    </row>
    <row r="34">
      <c r="A34" s="15" t="n"/>
      <c r="B34" s="16" t="n"/>
      <c r="C34" s="16" t="n"/>
      <c r="D34" s="17" t="n"/>
      <c r="E34" s="17" t="n"/>
      <c r="F34" s="16" t="n"/>
      <c r="G34" s="16" t="n"/>
      <c r="H34" s="16" t="n"/>
      <c r="I34" s="16" t="n"/>
      <c r="J34" s="16" t="n"/>
      <c r="K34" s="16" t="n"/>
      <c r="L34" s="18">
        <f>IF(AND(D34="",E34=""),"",IFERROR(IF(F34&lt;&gt;"",F34,0)+IF(H34&lt;&gt;"",H34,0)+IF(J34&lt;&gt;"",J34,0),""))</f>
        <v/>
      </c>
      <c r="M34" s="18">
        <f>IF(AND(D34="",E34=""),"",IFERROR(IF(G34&lt;&gt;"",G34,0)+IF(I34&lt;&gt;"",I34,0)+IF(K34&lt;&gt;"",K34,0),""))</f>
        <v/>
      </c>
      <c r="N34" s="18">
        <f>IF(OR(L34="",M34=""),"",IF(L34&gt;M34,D34,IF(M34&gt;L34,E34,"Draw")))</f>
        <v/>
      </c>
      <c r="O34" s="18">
        <f>IF(AND(D34="",E34=""),"",IF(AND(L34&lt;&gt;"",M34&lt;&gt;""),"Completed","Scheduled"))</f>
        <v/>
      </c>
    </row>
    <row r="35">
      <c r="A35" s="15" t="n"/>
      <c r="B35" s="16" t="n"/>
      <c r="C35" s="16" t="n"/>
      <c r="D35" s="17" t="n"/>
      <c r="E35" s="17" t="n"/>
      <c r="F35" s="16" t="n"/>
      <c r="G35" s="16" t="n"/>
      <c r="H35" s="16" t="n"/>
      <c r="I35" s="16" t="n"/>
      <c r="J35" s="16" t="n"/>
      <c r="K35" s="16" t="n"/>
      <c r="L35" s="18">
        <f>IF(AND(D35="",E35=""),"",IFERROR(IF(F35&lt;&gt;"",F35,0)+IF(H35&lt;&gt;"",H35,0)+IF(J35&lt;&gt;"",J35,0),""))</f>
        <v/>
      </c>
      <c r="M35" s="18">
        <f>IF(AND(D35="",E35=""),"",IFERROR(IF(G35&lt;&gt;"",G35,0)+IF(I35&lt;&gt;"",I35,0)+IF(K35&lt;&gt;"",K35,0),""))</f>
        <v/>
      </c>
      <c r="N35" s="18">
        <f>IF(OR(L35="",M35=""),"",IF(L35&gt;M35,D35,IF(M35&gt;L35,E35,"Draw")))</f>
        <v/>
      </c>
      <c r="O35" s="18">
        <f>IF(AND(D35="",E35=""),"",IF(AND(L35&lt;&gt;"",M35&lt;&gt;""),"Completed","Scheduled"))</f>
        <v/>
      </c>
    </row>
    <row r="36">
      <c r="A36" s="15" t="n"/>
      <c r="B36" s="16" t="n"/>
      <c r="C36" s="16" t="n"/>
      <c r="D36" s="17" t="n"/>
      <c r="E36" s="17" t="n"/>
      <c r="F36" s="16" t="n"/>
      <c r="G36" s="16" t="n"/>
      <c r="H36" s="16" t="n"/>
      <c r="I36" s="16" t="n"/>
      <c r="J36" s="16" t="n"/>
      <c r="K36" s="16" t="n"/>
      <c r="L36" s="18">
        <f>IF(AND(D36="",E36=""),"",IFERROR(IF(F36&lt;&gt;"",F36,0)+IF(H36&lt;&gt;"",H36,0)+IF(J36&lt;&gt;"",J36,0),""))</f>
        <v/>
      </c>
      <c r="M36" s="18">
        <f>IF(AND(D36="",E36=""),"",IFERROR(IF(G36&lt;&gt;"",G36,0)+IF(I36&lt;&gt;"",I36,0)+IF(K36&lt;&gt;"",K36,0),""))</f>
        <v/>
      </c>
      <c r="N36" s="18">
        <f>IF(OR(L36="",M36=""),"",IF(L36&gt;M36,D36,IF(M36&gt;L36,E36,"Draw")))</f>
        <v/>
      </c>
      <c r="O36" s="18">
        <f>IF(AND(D36="",E36=""),"",IF(AND(L36&lt;&gt;"",M36&lt;&gt;""),"Completed","Scheduled"))</f>
        <v/>
      </c>
    </row>
    <row r="37">
      <c r="A37" s="15" t="n"/>
      <c r="B37" s="16" t="n"/>
      <c r="C37" s="16" t="n"/>
      <c r="D37" s="17" t="n"/>
      <c r="E37" s="17" t="n"/>
      <c r="F37" s="16" t="n"/>
      <c r="G37" s="16" t="n"/>
      <c r="H37" s="16" t="n"/>
      <c r="I37" s="16" t="n"/>
      <c r="J37" s="16" t="n"/>
      <c r="K37" s="16" t="n"/>
      <c r="L37" s="18">
        <f>IF(AND(D37="",E37=""),"",IFERROR(IF(F37&lt;&gt;"",F37,0)+IF(H37&lt;&gt;"",H37,0)+IF(J37&lt;&gt;"",J37,0),""))</f>
        <v/>
      </c>
      <c r="M37" s="18">
        <f>IF(AND(D37="",E37=""),"",IFERROR(IF(G37&lt;&gt;"",G37,0)+IF(I37&lt;&gt;"",I37,0)+IF(K37&lt;&gt;"",K37,0),""))</f>
        <v/>
      </c>
      <c r="N37" s="18">
        <f>IF(OR(L37="",M37=""),"",IF(L37&gt;M37,D37,IF(M37&gt;L37,E37,"Draw")))</f>
        <v/>
      </c>
      <c r="O37" s="18">
        <f>IF(AND(D37="",E37=""),"",IF(AND(L37&lt;&gt;"",M37&lt;&gt;""),"Completed","Scheduled"))</f>
        <v/>
      </c>
    </row>
    <row r="38">
      <c r="A38" s="15" t="n"/>
      <c r="B38" s="16" t="n"/>
      <c r="C38" s="16" t="n"/>
      <c r="D38" s="17" t="n"/>
      <c r="E38" s="17" t="n"/>
      <c r="F38" s="16" t="n"/>
      <c r="G38" s="16" t="n"/>
      <c r="H38" s="16" t="n"/>
      <c r="I38" s="16" t="n"/>
      <c r="J38" s="16" t="n"/>
      <c r="K38" s="16" t="n"/>
      <c r="L38" s="18">
        <f>IF(AND(D38="",E38=""),"",IFERROR(IF(F38&lt;&gt;"",F38,0)+IF(H38&lt;&gt;"",H38,0)+IF(J38&lt;&gt;"",J38,0),""))</f>
        <v/>
      </c>
      <c r="M38" s="18">
        <f>IF(AND(D38="",E38=""),"",IFERROR(IF(G38&lt;&gt;"",G38,0)+IF(I38&lt;&gt;"",I38,0)+IF(K38&lt;&gt;"",K38,0),""))</f>
        <v/>
      </c>
      <c r="N38" s="18">
        <f>IF(OR(L38="",M38=""),"",IF(L38&gt;M38,D38,IF(M38&gt;L38,E38,"Draw")))</f>
        <v/>
      </c>
      <c r="O38" s="18">
        <f>IF(AND(D38="",E38=""),"",IF(AND(L38&lt;&gt;"",M38&lt;&gt;""),"Completed","Scheduled"))</f>
        <v/>
      </c>
    </row>
    <row r="39">
      <c r="A39" s="15" t="n"/>
      <c r="B39" s="16" t="n"/>
      <c r="C39" s="16" t="n"/>
      <c r="D39" s="17" t="n"/>
      <c r="E39" s="17" t="n"/>
      <c r="F39" s="16" t="n"/>
      <c r="G39" s="16" t="n"/>
      <c r="H39" s="16" t="n"/>
      <c r="I39" s="16" t="n"/>
      <c r="J39" s="16" t="n"/>
      <c r="K39" s="16" t="n"/>
      <c r="L39" s="18">
        <f>IF(AND(D39="",E39=""),"",IFERROR(IF(F39&lt;&gt;"",F39,0)+IF(H39&lt;&gt;"",H39,0)+IF(J39&lt;&gt;"",J39,0),""))</f>
        <v/>
      </c>
      <c r="M39" s="18">
        <f>IF(AND(D39="",E39=""),"",IFERROR(IF(G39&lt;&gt;"",G39,0)+IF(I39&lt;&gt;"",I39,0)+IF(K39&lt;&gt;"",K39,0),""))</f>
        <v/>
      </c>
      <c r="N39" s="18">
        <f>IF(OR(L39="",M39=""),"",IF(L39&gt;M39,D39,IF(M39&gt;L39,E39,"Draw")))</f>
        <v/>
      </c>
      <c r="O39" s="18">
        <f>IF(AND(D39="",E39=""),"",IF(AND(L39&lt;&gt;"",M39&lt;&gt;""),"Completed","Scheduled"))</f>
        <v/>
      </c>
    </row>
    <row r="40">
      <c r="A40" s="15" t="n"/>
      <c r="B40" s="16" t="n"/>
      <c r="C40" s="16" t="n"/>
      <c r="D40" s="17" t="n"/>
      <c r="E40" s="17" t="n"/>
      <c r="F40" s="16" t="n"/>
      <c r="G40" s="16" t="n"/>
      <c r="H40" s="16" t="n"/>
      <c r="I40" s="16" t="n"/>
      <c r="J40" s="16" t="n"/>
      <c r="K40" s="16" t="n"/>
      <c r="L40" s="18">
        <f>IF(AND(D40="",E40=""),"",IFERROR(IF(F40&lt;&gt;"",F40,0)+IF(H40&lt;&gt;"",H40,0)+IF(J40&lt;&gt;"",J40,0),""))</f>
        <v/>
      </c>
      <c r="M40" s="18">
        <f>IF(AND(D40="",E40=""),"",IFERROR(IF(G40&lt;&gt;"",G40,0)+IF(I40&lt;&gt;"",I40,0)+IF(K40&lt;&gt;"",K40,0),""))</f>
        <v/>
      </c>
      <c r="N40" s="18">
        <f>IF(OR(L40="",M40=""),"",IF(L40&gt;M40,D40,IF(M40&gt;L40,E40,"Draw")))</f>
        <v/>
      </c>
      <c r="O40" s="18">
        <f>IF(AND(D40="",E40=""),"",IF(AND(L40&lt;&gt;"",M40&lt;&gt;""),"Completed","Scheduled"))</f>
        <v/>
      </c>
    </row>
    <row r="41">
      <c r="A41" s="15" t="n"/>
      <c r="B41" s="16" t="n"/>
      <c r="C41" s="16" t="n"/>
      <c r="D41" s="17" t="n"/>
      <c r="E41" s="17" t="n"/>
      <c r="F41" s="16" t="n"/>
      <c r="G41" s="16" t="n"/>
      <c r="H41" s="16" t="n"/>
      <c r="I41" s="16" t="n"/>
      <c r="J41" s="16" t="n"/>
      <c r="K41" s="16" t="n"/>
      <c r="L41" s="18">
        <f>IF(AND(D41="",E41=""),"",IFERROR(IF(F41&lt;&gt;"",F41,0)+IF(H41&lt;&gt;"",H41,0)+IF(J41&lt;&gt;"",J41,0),""))</f>
        <v/>
      </c>
      <c r="M41" s="18">
        <f>IF(AND(D41="",E41=""),"",IFERROR(IF(G41&lt;&gt;"",G41,0)+IF(I41&lt;&gt;"",I41,0)+IF(K41&lt;&gt;"",K41,0),""))</f>
        <v/>
      </c>
      <c r="N41" s="18">
        <f>IF(OR(L41="",M41=""),"",IF(L41&gt;M41,D41,IF(M41&gt;L41,E41,"Draw")))</f>
        <v/>
      </c>
      <c r="O41" s="18">
        <f>IF(AND(D41="",E41=""),"",IF(AND(L41&lt;&gt;"",M41&lt;&gt;""),"Completed","Scheduled"))</f>
        <v/>
      </c>
    </row>
    <row r="42">
      <c r="A42" s="15" t="n"/>
      <c r="B42" s="16" t="n"/>
      <c r="C42" s="16" t="n"/>
      <c r="D42" s="17" t="n"/>
      <c r="E42" s="17" t="n"/>
      <c r="F42" s="16" t="n"/>
      <c r="G42" s="16" t="n"/>
      <c r="H42" s="16" t="n"/>
      <c r="I42" s="16" t="n"/>
      <c r="J42" s="16" t="n"/>
      <c r="K42" s="16" t="n"/>
      <c r="L42" s="18">
        <f>IF(AND(D42="",E42=""),"",IFERROR(IF(F42&lt;&gt;"",F42,0)+IF(H42&lt;&gt;"",H42,0)+IF(J42&lt;&gt;"",J42,0),""))</f>
        <v/>
      </c>
      <c r="M42" s="18">
        <f>IF(AND(D42="",E42=""),"",IFERROR(IF(G42&lt;&gt;"",G42,0)+IF(I42&lt;&gt;"",I42,0)+IF(K42&lt;&gt;"",K42,0),""))</f>
        <v/>
      </c>
      <c r="N42" s="18">
        <f>IF(OR(L42="",M42=""),"",IF(L42&gt;M42,D42,IF(M42&gt;L42,E42,"Draw")))</f>
        <v/>
      </c>
      <c r="O42" s="18">
        <f>IF(AND(D42="",E42=""),"",IF(AND(L42&lt;&gt;"",M42&lt;&gt;""),"Completed","Scheduled"))</f>
        <v/>
      </c>
    </row>
    <row r="43">
      <c r="A43" s="15" t="n"/>
      <c r="B43" s="16" t="n"/>
      <c r="C43" s="16" t="n"/>
      <c r="D43" s="17" t="n"/>
      <c r="E43" s="17" t="n"/>
      <c r="F43" s="16" t="n"/>
      <c r="G43" s="16" t="n"/>
      <c r="H43" s="16" t="n"/>
      <c r="I43" s="16" t="n"/>
      <c r="J43" s="16" t="n"/>
      <c r="K43" s="16" t="n"/>
      <c r="L43" s="18">
        <f>IF(AND(D43="",E43=""),"",IFERROR(IF(F43&lt;&gt;"",F43,0)+IF(H43&lt;&gt;"",H43,0)+IF(J43&lt;&gt;"",J43,0),""))</f>
        <v/>
      </c>
      <c r="M43" s="18">
        <f>IF(AND(D43="",E43=""),"",IFERROR(IF(G43&lt;&gt;"",G43,0)+IF(I43&lt;&gt;"",I43,0)+IF(K43&lt;&gt;"",K43,0),""))</f>
        <v/>
      </c>
      <c r="N43" s="18">
        <f>IF(OR(L43="",M43=""),"",IF(L43&gt;M43,D43,IF(M43&gt;L43,E43,"Draw")))</f>
        <v/>
      </c>
      <c r="O43" s="18">
        <f>IF(AND(D43="",E43=""),"",IF(AND(L43&lt;&gt;"",M43&lt;&gt;""),"Completed","Scheduled"))</f>
        <v/>
      </c>
    </row>
    <row r="44">
      <c r="A44" s="15" t="n"/>
      <c r="B44" s="16" t="n"/>
      <c r="C44" s="16" t="n"/>
      <c r="D44" s="17" t="n"/>
      <c r="E44" s="17" t="n"/>
      <c r="F44" s="16" t="n"/>
      <c r="G44" s="16" t="n"/>
      <c r="H44" s="16" t="n"/>
      <c r="I44" s="16" t="n"/>
      <c r="J44" s="16" t="n"/>
      <c r="K44" s="16" t="n"/>
      <c r="L44" s="18">
        <f>IF(AND(D44="",E44=""),"",IFERROR(IF(F44&lt;&gt;"",F44,0)+IF(H44&lt;&gt;"",H44,0)+IF(J44&lt;&gt;"",J44,0),""))</f>
        <v/>
      </c>
      <c r="M44" s="18">
        <f>IF(AND(D44="",E44=""),"",IFERROR(IF(G44&lt;&gt;"",G44,0)+IF(I44&lt;&gt;"",I44,0)+IF(K44&lt;&gt;"",K44,0),""))</f>
        <v/>
      </c>
      <c r="N44" s="18">
        <f>IF(OR(L44="",M44=""),"",IF(L44&gt;M44,D44,IF(M44&gt;L44,E44,"Draw")))</f>
        <v/>
      </c>
      <c r="O44" s="18">
        <f>IF(AND(D44="",E44=""),"",IF(AND(L44&lt;&gt;"",M44&lt;&gt;""),"Completed","Scheduled"))</f>
        <v/>
      </c>
    </row>
    <row r="45">
      <c r="A45" s="15" t="n"/>
      <c r="B45" s="16" t="n"/>
      <c r="C45" s="16" t="n"/>
      <c r="D45" s="17" t="n"/>
      <c r="E45" s="17" t="n"/>
      <c r="F45" s="16" t="n"/>
      <c r="G45" s="16" t="n"/>
      <c r="H45" s="16" t="n"/>
      <c r="I45" s="16" t="n"/>
      <c r="J45" s="16" t="n"/>
      <c r="K45" s="16" t="n"/>
      <c r="L45" s="18">
        <f>IF(AND(D45="",E45=""),"",IFERROR(IF(F45&lt;&gt;"",F45,0)+IF(H45&lt;&gt;"",H45,0)+IF(J45&lt;&gt;"",J45,0),""))</f>
        <v/>
      </c>
      <c r="M45" s="18">
        <f>IF(AND(D45="",E45=""),"",IFERROR(IF(G45&lt;&gt;"",G45,0)+IF(I45&lt;&gt;"",I45,0)+IF(K45&lt;&gt;"",K45,0),""))</f>
        <v/>
      </c>
      <c r="N45" s="18">
        <f>IF(OR(L45="",M45=""),"",IF(L45&gt;M45,D45,IF(M45&gt;L45,E45,"Draw")))</f>
        <v/>
      </c>
      <c r="O45" s="18">
        <f>IF(AND(D45="",E45=""),"",IF(AND(L45&lt;&gt;"",M45&lt;&gt;""),"Completed","Scheduled"))</f>
        <v/>
      </c>
    </row>
    <row r="46">
      <c r="A46" s="15" t="n"/>
      <c r="B46" s="16" t="n"/>
      <c r="C46" s="16" t="n"/>
      <c r="D46" s="17" t="n"/>
      <c r="E46" s="17" t="n"/>
      <c r="F46" s="16" t="n"/>
      <c r="G46" s="16" t="n"/>
      <c r="H46" s="16" t="n"/>
      <c r="I46" s="16" t="n"/>
      <c r="J46" s="16" t="n"/>
      <c r="K46" s="16" t="n"/>
      <c r="L46" s="18">
        <f>IF(AND(D46="",E46=""),"",IFERROR(IF(F46&lt;&gt;"",F46,0)+IF(H46&lt;&gt;"",H46,0)+IF(J46&lt;&gt;"",J46,0),""))</f>
        <v/>
      </c>
      <c r="M46" s="18">
        <f>IF(AND(D46="",E46=""),"",IFERROR(IF(G46&lt;&gt;"",G46,0)+IF(I46&lt;&gt;"",I46,0)+IF(K46&lt;&gt;"",K46,0),""))</f>
        <v/>
      </c>
      <c r="N46" s="18">
        <f>IF(OR(L46="",M46=""),"",IF(L46&gt;M46,D46,IF(M46&gt;L46,E46,"Draw")))</f>
        <v/>
      </c>
      <c r="O46" s="18">
        <f>IF(AND(D46="",E46=""),"",IF(AND(L46&lt;&gt;"",M46&lt;&gt;""),"Completed","Scheduled"))</f>
        <v/>
      </c>
    </row>
    <row r="47">
      <c r="A47" s="15" t="n"/>
      <c r="B47" s="16" t="n"/>
      <c r="C47" s="16" t="n"/>
      <c r="D47" s="17" t="n"/>
      <c r="E47" s="17" t="n"/>
      <c r="F47" s="16" t="n"/>
      <c r="G47" s="16" t="n"/>
      <c r="H47" s="16" t="n"/>
      <c r="I47" s="16" t="n"/>
      <c r="J47" s="16" t="n"/>
      <c r="K47" s="16" t="n"/>
      <c r="L47" s="18">
        <f>IF(AND(D47="",E47=""),"",IFERROR(IF(F47&lt;&gt;"",F47,0)+IF(H47&lt;&gt;"",H47,0)+IF(J47&lt;&gt;"",J47,0),""))</f>
        <v/>
      </c>
      <c r="M47" s="18">
        <f>IF(AND(D47="",E47=""),"",IFERROR(IF(G47&lt;&gt;"",G47,0)+IF(I47&lt;&gt;"",I47,0)+IF(K47&lt;&gt;"",K47,0),""))</f>
        <v/>
      </c>
      <c r="N47" s="18">
        <f>IF(OR(L47="",M47=""),"",IF(L47&gt;M47,D47,IF(M47&gt;L47,E47,"Draw")))</f>
        <v/>
      </c>
      <c r="O47" s="18">
        <f>IF(AND(D47="",E47=""),"",IF(AND(L47&lt;&gt;"",M47&lt;&gt;""),"Completed","Scheduled"))</f>
        <v/>
      </c>
    </row>
    <row r="48">
      <c r="A48" s="15" t="n"/>
      <c r="B48" s="16" t="n"/>
      <c r="C48" s="16" t="n"/>
      <c r="D48" s="17" t="n"/>
      <c r="E48" s="17" t="n"/>
      <c r="F48" s="16" t="n"/>
      <c r="G48" s="16" t="n"/>
      <c r="H48" s="16" t="n"/>
      <c r="I48" s="16" t="n"/>
      <c r="J48" s="16" t="n"/>
      <c r="K48" s="16" t="n"/>
      <c r="L48" s="18">
        <f>IF(AND(D48="",E48=""),"",IFERROR(IF(F48&lt;&gt;"",F48,0)+IF(H48&lt;&gt;"",H48,0)+IF(J48&lt;&gt;"",J48,0),""))</f>
        <v/>
      </c>
      <c r="M48" s="18">
        <f>IF(AND(D48="",E48=""),"",IFERROR(IF(G48&lt;&gt;"",G48,0)+IF(I48&lt;&gt;"",I48,0)+IF(K48&lt;&gt;"",K48,0),""))</f>
        <v/>
      </c>
      <c r="N48" s="18">
        <f>IF(OR(L48="",M48=""),"",IF(L48&gt;M48,D48,IF(M48&gt;L48,E48,"Draw")))</f>
        <v/>
      </c>
      <c r="O48" s="18">
        <f>IF(AND(D48="",E48=""),"",IF(AND(L48&lt;&gt;"",M48&lt;&gt;""),"Completed","Scheduled"))</f>
        <v/>
      </c>
    </row>
    <row r="49">
      <c r="A49" s="15" t="n"/>
      <c r="B49" s="16" t="n"/>
      <c r="C49" s="16" t="n"/>
      <c r="D49" s="17" t="n"/>
      <c r="E49" s="17" t="n"/>
      <c r="F49" s="16" t="n"/>
      <c r="G49" s="16" t="n"/>
      <c r="H49" s="16" t="n"/>
      <c r="I49" s="16" t="n"/>
      <c r="J49" s="16" t="n"/>
      <c r="K49" s="16" t="n"/>
      <c r="L49" s="18">
        <f>IF(AND(D49="",E49=""),"",IFERROR(IF(F49&lt;&gt;"",F49,0)+IF(H49&lt;&gt;"",H49,0)+IF(J49&lt;&gt;"",J49,0),""))</f>
        <v/>
      </c>
      <c r="M49" s="18">
        <f>IF(AND(D49="",E49=""),"",IFERROR(IF(G49&lt;&gt;"",G49,0)+IF(I49&lt;&gt;"",I49,0)+IF(K49&lt;&gt;"",K49,0),""))</f>
        <v/>
      </c>
      <c r="N49" s="18">
        <f>IF(OR(L49="",M49=""),"",IF(L49&gt;M49,D49,IF(M49&gt;L49,E49,"Draw")))</f>
        <v/>
      </c>
      <c r="O49" s="18">
        <f>IF(AND(D49="",E49=""),"",IF(AND(L49&lt;&gt;"",M49&lt;&gt;""),"Completed","Scheduled"))</f>
        <v/>
      </c>
    </row>
    <row r="50">
      <c r="A50" s="15" t="n"/>
      <c r="B50" s="16" t="n"/>
      <c r="C50" s="16" t="n"/>
      <c r="D50" s="17" t="n"/>
      <c r="E50" s="17" t="n"/>
      <c r="F50" s="16" t="n"/>
      <c r="G50" s="16" t="n"/>
      <c r="H50" s="16" t="n"/>
      <c r="I50" s="16" t="n"/>
      <c r="J50" s="16" t="n"/>
      <c r="K50" s="16" t="n"/>
      <c r="L50" s="18">
        <f>IF(AND(D50="",E50=""),"",IFERROR(IF(F50&lt;&gt;"",F50,0)+IF(H50&lt;&gt;"",H50,0)+IF(J50&lt;&gt;"",J50,0),""))</f>
        <v/>
      </c>
      <c r="M50" s="18">
        <f>IF(AND(D50="",E50=""),"",IFERROR(IF(G50&lt;&gt;"",G50,0)+IF(I50&lt;&gt;"",I50,0)+IF(K50&lt;&gt;"",K50,0),""))</f>
        <v/>
      </c>
      <c r="N50" s="18">
        <f>IF(OR(L50="",M50=""),"",IF(L50&gt;M50,D50,IF(M50&gt;L50,E50,"Draw")))</f>
        <v/>
      </c>
      <c r="O50" s="18">
        <f>IF(AND(D50="",E50=""),"",IF(AND(L50&lt;&gt;"",M50&lt;&gt;""),"Completed","Scheduled"))</f>
        <v/>
      </c>
    </row>
    <row r="51">
      <c r="A51" s="15" t="n"/>
      <c r="B51" s="16" t="n"/>
      <c r="C51" s="16" t="n"/>
      <c r="D51" s="17" t="n"/>
      <c r="E51" s="17" t="n"/>
      <c r="F51" s="16" t="n"/>
      <c r="G51" s="16" t="n"/>
      <c r="H51" s="16" t="n"/>
      <c r="I51" s="16" t="n"/>
      <c r="J51" s="16" t="n"/>
      <c r="K51" s="16" t="n"/>
      <c r="L51" s="18">
        <f>IF(AND(D51="",E51=""),"",IFERROR(IF(F51&lt;&gt;"",F51,0)+IF(H51&lt;&gt;"",H51,0)+IF(J51&lt;&gt;"",J51,0),""))</f>
        <v/>
      </c>
      <c r="M51" s="18">
        <f>IF(AND(D51="",E51=""),"",IFERROR(IF(G51&lt;&gt;"",G51,0)+IF(I51&lt;&gt;"",I51,0)+IF(K51&lt;&gt;"",K51,0),""))</f>
        <v/>
      </c>
      <c r="N51" s="18">
        <f>IF(OR(L51="",M51=""),"",IF(L51&gt;M51,D51,IF(M51&gt;L51,E51,"Draw")))</f>
        <v/>
      </c>
      <c r="O51" s="18">
        <f>IF(AND(D51="",E51=""),"",IF(AND(L51&lt;&gt;"",M51&lt;&gt;""),"Completed","Scheduled"))</f>
        <v/>
      </c>
    </row>
    <row r="52">
      <c r="A52" s="15" t="n"/>
      <c r="B52" s="16" t="n"/>
      <c r="C52" s="16" t="n"/>
      <c r="D52" s="17" t="n"/>
      <c r="E52" s="17" t="n"/>
      <c r="F52" s="16" t="n"/>
      <c r="G52" s="16" t="n"/>
      <c r="H52" s="16" t="n"/>
      <c r="I52" s="16" t="n"/>
      <c r="J52" s="16" t="n"/>
      <c r="K52" s="16" t="n"/>
      <c r="L52" s="18">
        <f>IF(AND(D52="",E52=""),"",IFERROR(IF(F52&lt;&gt;"",F52,0)+IF(H52&lt;&gt;"",H52,0)+IF(J52&lt;&gt;"",J52,0),""))</f>
        <v/>
      </c>
      <c r="M52" s="18">
        <f>IF(AND(D52="",E52=""),"",IFERROR(IF(G52&lt;&gt;"",G52,0)+IF(I52&lt;&gt;"",I52,0)+IF(K52&lt;&gt;"",K52,0),""))</f>
        <v/>
      </c>
      <c r="N52" s="18">
        <f>IF(OR(L52="",M52=""),"",IF(L52&gt;M52,D52,IF(M52&gt;L52,E52,"Draw")))</f>
        <v/>
      </c>
      <c r="O52" s="18">
        <f>IF(AND(D52="",E52=""),"",IF(AND(L52&lt;&gt;"",M52&lt;&gt;""),"Completed","Scheduled"))</f>
        <v/>
      </c>
    </row>
    <row r="53">
      <c r="A53" s="15" t="n"/>
      <c r="B53" s="16" t="n"/>
      <c r="C53" s="16" t="n"/>
      <c r="D53" s="17" t="n"/>
      <c r="E53" s="17" t="n"/>
      <c r="F53" s="16" t="n"/>
      <c r="G53" s="16" t="n"/>
      <c r="H53" s="16" t="n"/>
      <c r="I53" s="16" t="n"/>
      <c r="J53" s="16" t="n"/>
      <c r="K53" s="16" t="n"/>
      <c r="L53" s="18">
        <f>IF(AND(D53="",E53=""),"",IFERROR(IF(F53&lt;&gt;"",F53,0)+IF(H53&lt;&gt;"",H53,0)+IF(J53&lt;&gt;"",J53,0),""))</f>
        <v/>
      </c>
      <c r="M53" s="18">
        <f>IF(AND(D53="",E53=""),"",IFERROR(IF(G53&lt;&gt;"",G53,0)+IF(I53&lt;&gt;"",I53,0)+IF(K53&lt;&gt;"",K53,0),""))</f>
        <v/>
      </c>
      <c r="N53" s="18">
        <f>IF(OR(L53="",M53=""),"",IF(L53&gt;M53,D53,IF(M53&gt;L53,E53,"Draw")))</f>
        <v/>
      </c>
      <c r="O53" s="18">
        <f>IF(AND(D53="",E53=""),"",IF(AND(L53&lt;&gt;"",M53&lt;&gt;""),"Completed","Scheduled"))</f>
        <v/>
      </c>
    </row>
    <row r="54">
      <c r="A54" s="15" t="n"/>
      <c r="B54" s="16" t="n"/>
      <c r="C54" s="16" t="n"/>
      <c r="D54" s="17" t="n"/>
      <c r="E54" s="17" t="n"/>
      <c r="F54" s="16" t="n"/>
      <c r="G54" s="16" t="n"/>
      <c r="H54" s="16" t="n"/>
      <c r="I54" s="16" t="n"/>
      <c r="J54" s="16" t="n"/>
      <c r="K54" s="16" t="n"/>
      <c r="L54" s="18">
        <f>IF(AND(D54="",E54=""),"",IFERROR(IF(F54&lt;&gt;"",F54,0)+IF(H54&lt;&gt;"",H54,0)+IF(J54&lt;&gt;"",J54,0),""))</f>
        <v/>
      </c>
      <c r="M54" s="18">
        <f>IF(AND(D54="",E54=""),"",IFERROR(IF(G54&lt;&gt;"",G54,0)+IF(I54&lt;&gt;"",I54,0)+IF(K54&lt;&gt;"",K54,0),""))</f>
        <v/>
      </c>
      <c r="N54" s="18">
        <f>IF(OR(L54="",M54=""),"",IF(L54&gt;M54,D54,IF(M54&gt;L54,E54,"Draw")))</f>
        <v/>
      </c>
      <c r="O54" s="18">
        <f>IF(AND(D54="",E54=""),"",IF(AND(L54&lt;&gt;"",M54&lt;&gt;""),"Completed","Scheduled"))</f>
        <v/>
      </c>
    </row>
    <row r="55">
      <c r="A55" s="15" t="n"/>
      <c r="B55" s="16" t="n"/>
      <c r="C55" s="16" t="n"/>
      <c r="D55" s="17" t="n"/>
      <c r="E55" s="17" t="n"/>
      <c r="F55" s="16" t="n"/>
      <c r="G55" s="16" t="n"/>
      <c r="H55" s="16" t="n"/>
      <c r="I55" s="16" t="n"/>
      <c r="J55" s="16" t="n"/>
      <c r="K55" s="16" t="n"/>
      <c r="L55" s="18">
        <f>IF(AND(D55="",E55=""),"",IFERROR(IF(F55&lt;&gt;"",F55,0)+IF(H55&lt;&gt;"",H55,0)+IF(J55&lt;&gt;"",J55,0),""))</f>
        <v/>
      </c>
      <c r="M55" s="18">
        <f>IF(AND(D55="",E55=""),"",IFERROR(IF(G55&lt;&gt;"",G55,0)+IF(I55&lt;&gt;"",I55,0)+IF(K55&lt;&gt;"",K55,0),""))</f>
        <v/>
      </c>
      <c r="N55" s="18">
        <f>IF(OR(L55="",M55=""),"",IF(L55&gt;M55,D55,IF(M55&gt;L55,E55,"Draw")))</f>
        <v/>
      </c>
      <c r="O55" s="18">
        <f>IF(AND(D55="",E55=""),"",IF(AND(L55&lt;&gt;"",M55&lt;&gt;""),"Completed","Scheduled"))</f>
        <v/>
      </c>
    </row>
    <row r="56">
      <c r="A56" s="15" t="n"/>
      <c r="B56" s="16" t="n"/>
      <c r="C56" s="16" t="n"/>
      <c r="D56" s="17" t="n"/>
      <c r="E56" s="17" t="n"/>
      <c r="F56" s="16" t="n"/>
      <c r="G56" s="16" t="n"/>
      <c r="H56" s="16" t="n"/>
      <c r="I56" s="16" t="n"/>
      <c r="J56" s="16" t="n"/>
      <c r="K56" s="16" t="n"/>
      <c r="L56" s="18">
        <f>IF(AND(D56="",E56=""),"",IFERROR(IF(F56&lt;&gt;"",F56,0)+IF(H56&lt;&gt;"",H56,0)+IF(J56&lt;&gt;"",J56,0),""))</f>
        <v/>
      </c>
      <c r="M56" s="18">
        <f>IF(AND(D56="",E56=""),"",IFERROR(IF(G56&lt;&gt;"",G56,0)+IF(I56&lt;&gt;"",I56,0)+IF(K56&lt;&gt;"",K56,0),""))</f>
        <v/>
      </c>
      <c r="N56" s="18">
        <f>IF(OR(L56="",M56=""),"",IF(L56&gt;M56,D56,IF(M56&gt;L56,E56,"Draw")))</f>
        <v/>
      </c>
      <c r="O56" s="18">
        <f>IF(AND(D56="",E56=""),"",IF(AND(L56&lt;&gt;"",M56&lt;&gt;""),"Completed","Scheduled"))</f>
        <v/>
      </c>
    </row>
    <row r="57">
      <c r="A57" s="15" t="n"/>
      <c r="B57" s="16" t="n"/>
      <c r="C57" s="16" t="n"/>
      <c r="D57" s="17" t="n"/>
      <c r="E57" s="17" t="n"/>
      <c r="F57" s="16" t="n"/>
      <c r="G57" s="16" t="n"/>
      <c r="H57" s="16" t="n"/>
      <c r="I57" s="16" t="n"/>
      <c r="J57" s="16" t="n"/>
      <c r="K57" s="16" t="n"/>
      <c r="L57" s="18">
        <f>IF(AND(D57="",E57=""),"",IFERROR(IF(F57&lt;&gt;"",F57,0)+IF(H57&lt;&gt;"",H57,0)+IF(J57&lt;&gt;"",J57,0),""))</f>
        <v/>
      </c>
      <c r="M57" s="18">
        <f>IF(AND(D57="",E57=""),"",IFERROR(IF(G57&lt;&gt;"",G57,0)+IF(I57&lt;&gt;"",I57,0)+IF(K57&lt;&gt;"",K57,0),""))</f>
        <v/>
      </c>
      <c r="N57" s="18">
        <f>IF(OR(L57="",M57=""),"",IF(L57&gt;M57,D57,IF(M57&gt;L57,E57,"Draw")))</f>
        <v/>
      </c>
      <c r="O57" s="18">
        <f>IF(AND(D57="",E57=""),"",IF(AND(L57&lt;&gt;"",M57&lt;&gt;""),"Completed","Scheduled"))</f>
        <v/>
      </c>
    </row>
    <row r="58">
      <c r="A58" s="15" t="n"/>
      <c r="B58" s="16" t="n"/>
      <c r="C58" s="16" t="n"/>
      <c r="D58" s="17" t="n"/>
      <c r="E58" s="17" t="n"/>
      <c r="F58" s="16" t="n"/>
      <c r="G58" s="16" t="n"/>
      <c r="H58" s="16" t="n"/>
      <c r="I58" s="16" t="n"/>
      <c r="J58" s="16" t="n"/>
      <c r="K58" s="16" t="n"/>
      <c r="L58" s="18">
        <f>IF(AND(D58="",E58=""),"",IFERROR(IF(F58&lt;&gt;"",F58,0)+IF(H58&lt;&gt;"",H58,0)+IF(J58&lt;&gt;"",J58,0),""))</f>
        <v/>
      </c>
      <c r="M58" s="18">
        <f>IF(AND(D58="",E58=""),"",IFERROR(IF(G58&lt;&gt;"",G58,0)+IF(I58&lt;&gt;"",I58,0)+IF(K58&lt;&gt;"",K58,0),""))</f>
        <v/>
      </c>
      <c r="N58" s="18">
        <f>IF(OR(L58="",M58=""),"",IF(L58&gt;M58,D58,IF(M58&gt;L58,E58,"Draw")))</f>
        <v/>
      </c>
      <c r="O58" s="18">
        <f>IF(AND(D58="",E58=""),"",IF(AND(L58&lt;&gt;"",M58&lt;&gt;""),"Completed","Scheduled"))</f>
        <v/>
      </c>
    </row>
    <row r="59">
      <c r="A59" s="15" t="n"/>
      <c r="B59" s="16" t="n"/>
      <c r="C59" s="16" t="n"/>
      <c r="D59" s="17" t="n"/>
      <c r="E59" s="17" t="n"/>
      <c r="F59" s="16" t="n"/>
      <c r="G59" s="16" t="n"/>
      <c r="H59" s="16" t="n"/>
      <c r="I59" s="16" t="n"/>
      <c r="J59" s="16" t="n"/>
      <c r="K59" s="16" t="n"/>
      <c r="L59" s="18">
        <f>IF(AND(D59="",E59=""),"",IFERROR(IF(F59&lt;&gt;"",F59,0)+IF(H59&lt;&gt;"",H59,0)+IF(J59&lt;&gt;"",J59,0),""))</f>
        <v/>
      </c>
      <c r="M59" s="18">
        <f>IF(AND(D59="",E59=""),"",IFERROR(IF(G59&lt;&gt;"",G59,0)+IF(I59&lt;&gt;"",I59,0)+IF(K59&lt;&gt;"",K59,0),""))</f>
        <v/>
      </c>
      <c r="N59" s="18">
        <f>IF(OR(L59="",M59=""),"",IF(L59&gt;M59,D59,IF(M59&gt;L59,E59,"Draw")))</f>
        <v/>
      </c>
      <c r="O59" s="18">
        <f>IF(AND(D59="",E59=""),"",IF(AND(L59&lt;&gt;"",M59&lt;&gt;""),"Completed","Scheduled"))</f>
        <v/>
      </c>
    </row>
    <row r="60">
      <c r="A60" s="15" t="n"/>
      <c r="B60" s="16" t="n"/>
      <c r="C60" s="16" t="n"/>
      <c r="D60" s="17" t="n"/>
      <c r="E60" s="17" t="n"/>
      <c r="F60" s="16" t="n"/>
      <c r="G60" s="16" t="n"/>
      <c r="H60" s="16" t="n"/>
      <c r="I60" s="16" t="n"/>
      <c r="J60" s="16" t="n"/>
      <c r="K60" s="16" t="n"/>
      <c r="L60" s="18">
        <f>IF(AND(D60="",E60=""),"",IFERROR(IF(F60&lt;&gt;"",F60,0)+IF(H60&lt;&gt;"",H60,0)+IF(J60&lt;&gt;"",J60,0),""))</f>
        <v/>
      </c>
      <c r="M60" s="18">
        <f>IF(AND(D60="",E60=""),"",IFERROR(IF(G60&lt;&gt;"",G60,0)+IF(I60&lt;&gt;"",I60,0)+IF(K60&lt;&gt;"",K60,0),""))</f>
        <v/>
      </c>
      <c r="N60" s="18">
        <f>IF(OR(L60="",M60=""),"",IF(L60&gt;M60,D60,IF(M60&gt;L60,E60,"Draw")))</f>
        <v/>
      </c>
      <c r="O60" s="18">
        <f>IF(AND(D60="",E60=""),"",IF(AND(L60&lt;&gt;"",M60&lt;&gt;""),"Completed","Scheduled"))</f>
        <v/>
      </c>
    </row>
    <row r="61">
      <c r="A61" s="15" t="n"/>
      <c r="B61" s="16" t="n"/>
      <c r="C61" s="16" t="n"/>
      <c r="D61" s="17" t="n"/>
      <c r="E61" s="17" t="n"/>
      <c r="F61" s="16" t="n"/>
      <c r="G61" s="16" t="n"/>
      <c r="H61" s="16" t="n"/>
      <c r="I61" s="16" t="n"/>
      <c r="J61" s="16" t="n"/>
      <c r="K61" s="16" t="n"/>
      <c r="L61" s="18">
        <f>IF(AND(D61="",E61=""),"",IFERROR(IF(F61&lt;&gt;"",F61,0)+IF(H61&lt;&gt;"",H61,0)+IF(J61&lt;&gt;"",J61,0),""))</f>
        <v/>
      </c>
      <c r="M61" s="18">
        <f>IF(AND(D61="",E61=""),"",IFERROR(IF(G61&lt;&gt;"",G61,0)+IF(I61&lt;&gt;"",I61,0)+IF(K61&lt;&gt;"",K61,0),""))</f>
        <v/>
      </c>
      <c r="N61" s="18">
        <f>IF(OR(L61="",M61=""),"",IF(L61&gt;M61,D61,IF(M61&gt;L61,E61,"Draw")))</f>
        <v/>
      </c>
      <c r="O61" s="18">
        <f>IF(AND(D61="",E61=""),"",IF(AND(L61&lt;&gt;"",M61&lt;&gt;""),"Completed","Scheduled"))</f>
        <v/>
      </c>
    </row>
    <row r="62">
      <c r="A62" s="15" t="n"/>
      <c r="B62" s="16" t="n"/>
      <c r="C62" s="16" t="n"/>
      <c r="D62" s="17" t="n"/>
      <c r="E62" s="17" t="n"/>
      <c r="F62" s="16" t="n"/>
      <c r="G62" s="16" t="n"/>
      <c r="H62" s="16" t="n"/>
      <c r="I62" s="16" t="n"/>
      <c r="J62" s="16" t="n"/>
      <c r="K62" s="16" t="n"/>
      <c r="L62" s="18">
        <f>IF(AND(D62="",E62=""),"",IFERROR(IF(F62&lt;&gt;"",F62,0)+IF(H62&lt;&gt;"",H62,0)+IF(J62&lt;&gt;"",J62,0),""))</f>
        <v/>
      </c>
      <c r="M62" s="18">
        <f>IF(AND(D62="",E62=""),"",IFERROR(IF(G62&lt;&gt;"",G62,0)+IF(I62&lt;&gt;"",I62,0)+IF(K62&lt;&gt;"",K62,0),""))</f>
        <v/>
      </c>
      <c r="N62" s="18">
        <f>IF(OR(L62="",M62=""),"",IF(L62&gt;M62,D62,IF(M62&gt;L62,E62,"Draw")))</f>
        <v/>
      </c>
      <c r="O62" s="18">
        <f>IF(AND(D62="",E62=""),"",IF(AND(L62&lt;&gt;"",M62&lt;&gt;""),"Completed","Scheduled"))</f>
        <v/>
      </c>
    </row>
    <row r="63">
      <c r="A63" s="15" t="n"/>
      <c r="B63" s="16" t="n"/>
      <c r="C63" s="16" t="n"/>
      <c r="D63" s="17" t="n"/>
      <c r="E63" s="17" t="n"/>
      <c r="F63" s="16" t="n"/>
      <c r="G63" s="16" t="n"/>
      <c r="H63" s="16" t="n"/>
      <c r="I63" s="16" t="n"/>
      <c r="J63" s="16" t="n"/>
      <c r="K63" s="16" t="n"/>
      <c r="L63" s="18">
        <f>IF(AND(D63="",E63=""),"",IFERROR(IF(F63&lt;&gt;"",F63,0)+IF(H63&lt;&gt;"",H63,0)+IF(J63&lt;&gt;"",J63,0),""))</f>
        <v/>
      </c>
      <c r="M63" s="18">
        <f>IF(AND(D63="",E63=""),"",IFERROR(IF(G63&lt;&gt;"",G63,0)+IF(I63&lt;&gt;"",I63,0)+IF(K63&lt;&gt;"",K63,0),""))</f>
        <v/>
      </c>
      <c r="N63" s="18">
        <f>IF(OR(L63="",M63=""),"",IF(L63&gt;M63,D63,IF(M63&gt;L63,E63,"Draw")))</f>
        <v/>
      </c>
      <c r="O63" s="18">
        <f>IF(AND(D63="",E63=""),"",IF(AND(L63&lt;&gt;"",M63&lt;&gt;""),"Completed","Scheduled"))</f>
        <v/>
      </c>
    </row>
    <row r="64">
      <c r="A64" s="15" t="n"/>
      <c r="B64" s="16" t="n"/>
      <c r="C64" s="16" t="n"/>
      <c r="D64" s="17" t="n"/>
      <c r="E64" s="17" t="n"/>
      <c r="F64" s="16" t="n"/>
      <c r="G64" s="16" t="n"/>
      <c r="H64" s="16" t="n"/>
      <c r="I64" s="16" t="n"/>
      <c r="J64" s="16" t="n"/>
      <c r="K64" s="16" t="n"/>
      <c r="L64" s="18">
        <f>IF(AND(D64="",E64=""),"",IFERROR(IF(F64&lt;&gt;"",F64,0)+IF(H64&lt;&gt;"",H64,0)+IF(J64&lt;&gt;"",J64,0),""))</f>
        <v/>
      </c>
      <c r="M64" s="18">
        <f>IF(AND(D64="",E64=""),"",IFERROR(IF(G64&lt;&gt;"",G64,0)+IF(I64&lt;&gt;"",I64,0)+IF(K64&lt;&gt;"",K64,0),""))</f>
        <v/>
      </c>
      <c r="N64" s="18">
        <f>IF(OR(L64="",M64=""),"",IF(L64&gt;M64,D64,IF(M64&gt;L64,E64,"Draw")))</f>
        <v/>
      </c>
      <c r="O64" s="18">
        <f>IF(AND(D64="",E64=""),"",IF(AND(L64&lt;&gt;"",M64&lt;&gt;""),"Completed","Scheduled"))</f>
        <v/>
      </c>
    </row>
    <row r="65">
      <c r="A65" s="15" t="n"/>
      <c r="B65" s="16" t="n"/>
      <c r="C65" s="16" t="n"/>
      <c r="D65" s="17" t="n"/>
      <c r="E65" s="17" t="n"/>
      <c r="F65" s="16" t="n"/>
      <c r="G65" s="16" t="n"/>
      <c r="H65" s="16" t="n"/>
      <c r="I65" s="16" t="n"/>
      <c r="J65" s="16" t="n"/>
      <c r="K65" s="16" t="n"/>
      <c r="L65" s="18">
        <f>IF(AND(D65="",E65=""),"",IFERROR(IF(F65&lt;&gt;"",F65,0)+IF(H65&lt;&gt;"",H65,0)+IF(J65&lt;&gt;"",J65,0),""))</f>
        <v/>
      </c>
      <c r="M65" s="18">
        <f>IF(AND(D65="",E65=""),"",IFERROR(IF(G65&lt;&gt;"",G65,0)+IF(I65&lt;&gt;"",I65,0)+IF(K65&lt;&gt;"",K65,0),""))</f>
        <v/>
      </c>
      <c r="N65" s="18">
        <f>IF(OR(L65="",M65=""),"",IF(L65&gt;M65,D65,IF(M65&gt;L65,E65,"Draw")))</f>
        <v/>
      </c>
      <c r="O65" s="18">
        <f>IF(AND(D65="",E65=""),"",IF(AND(L65&lt;&gt;"",M65&lt;&gt;""),"Completed","Scheduled"))</f>
        <v/>
      </c>
    </row>
    <row r="66">
      <c r="A66" s="15" t="n"/>
      <c r="B66" s="16" t="n"/>
      <c r="C66" s="16" t="n"/>
      <c r="D66" s="17" t="n"/>
      <c r="E66" s="17" t="n"/>
      <c r="F66" s="16" t="n"/>
      <c r="G66" s="16" t="n"/>
      <c r="H66" s="16" t="n"/>
      <c r="I66" s="16" t="n"/>
      <c r="J66" s="16" t="n"/>
      <c r="K66" s="16" t="n"/>
      <c r="L66" s="18">
        <f>IF(AND(D66="",E66=""),"",IFERROR(IF(F66&lt;&gt;"",F66,0)+IF(H66&lt;&gt;"",H66,0)+IF(J66&lt;&gt;"",J66,0),""))</f>
        <v/>
      </c>
      <c r="M66" s="18">
        <f>IF(AND(D66="",E66=""),"",IFERROR(IF(G66&lt;&gt;"",G66,0)+IF(I66&lt;&gt;"",I66,0)+IF(K66&lt;&gt;"",K66,0),""))</f>
        <v/>
      </c>
      <c r="N66" s="18">
        <f>IF(OR(L66="",M66=""),"",IF(L66&gt;M66,D66,IF(M66&gt;L66,E66,"Draw")))</f>
        <v/>
      </c>
      <c r="O66" s="18">
        <f>IF(AND(D66="",E66=""),"",IF(AND(L66&lt;&gt;"",M66&lt;&gt;""),"Completed","Scheduled"))</f>
        <v/>
      </c>
    </row>
    <row r="67">
      <c r="A67" s="15" t="n"/>
      <c r="B67" s="16" t="n"/>
      <c r="C67" s="16" t="n"/>
      <c r="D67" s="17" t="n"/>
      <c r="E67" s="17" t="n"/>
      <c r="F67" s="16" t="n"/>
      <c r="G67" s="16" t="n"/>
      <c r="H67" s="16" t="n"/>
      <c r="I67" s="16" t="n"/>
      <c r="J67" s="16" t="n"/>
      <c r="K67" s="16" t="n"/>
      <c r="L67" s="18">
        <f>IF(AND(D67="",E67=""),"",IFERROR(IF(F67&lt;&gt;"",F67,0)+IF(H67&lt;&gt;"",H67,0)+IF(J67&lt;&gt;"",J67,0),""))</f>
        <v/>
      </c>
      <c r="M67" s="18">
        <f>IF(AND(D67="",E67=""),"",IFERROR(IF(G67&lt;&gt;"",G67,0)+IF(I67&lt;&gt;"",I67,0)+IF(K67&lt;&gt;"",K67,0),""))</f>
        <v/>
      </c>
      <c r="N67" s="18">
        <f>IF(OR(L67="",M67=""),"",IF(L67&gt;M67,D67,IF(M67&gt;L67,E67,"Draw")))</f>
        <v/>
      </c>
      <c r="O67" s="18">
        <f>IF(AND(D67="",E67=""),"",IF(AND(L67&lt;&gt;"",M67&lt;&gt;""),"Completed","Scheduled"))</f>
        <v/>
      </c>
    </row>
    <row r="68">
      <c r="A68" s="15" t="n"/>
      <c r="B68" s="16" t="n"/>
      <c r="C68" s="16" t="n"/>
      <c r="D68" s="17" t="n"/>
      <c r="E68" s="17" t="n"/>
      <c r="F68" s="16" t="n"/>
      <c r="G68" s="16" t="n"/>
      <c r="H68" s="16" t="n"/>
      <c r="I68" s="16" t="n"/>
      <c r="J68" s="16" t="n"/>
      <c r="K68" s="16" t="n"/>
      <c r="L68" s="18">
        <f>IF(AND(D68="",E68=""),"",IFERROR(IF(F68&lt;&gt;"",F68,0)+IF(H68&lt;&gt;"",H68,0)+IF(J68&lt;&gt;"",J68,0),""))</f>
        <v/>
      </c>
      <c r="M68" s="18">
        <f>IF(AND(D68="",E68=""),"",IFERROR(IF(G68&lt;&gt;"",G68,0)+IF(I68&lt;&gt;"",I68,0)+IF(K68&lt;&gt;"",K68,0),""))</f>
        <v/>
      </c>
      <c r="N68" s="18">
        <f>IF(OR(L68="",M68=""),"",IF(L68&gt;M68,D68,IF(M68&gt;L68,E68,"Draw")))</f>
        <v/>
      </c>
      <c r="O68" s="18">
        <f>IF(AND(D68="",E68=""),"",IF(AND(L68&lt;&gt;"",M68&lt;&gt;""),"Completed","Scheduled"))</f>
        <v/>
      </c>
    </row>
    <row r="69">
      <c r="A69" s="15" t="n"/>
      <c r="B69" s="16" t="n"/>
      <c r="C69" s="16" t="n"/>
      <c r="D69" s="17" t="n"/>
      <c r="E69" s="17" t="n"/>
      <c r="F69" s="16" t="n"/>
      <c r="G69" s="16" t="n"/>
      <c r="H69" s="16" t="n"/>
      <c r="I69" s="16" t="n"/>
      <c r="J69" s="16" t="n"/>
      <c r="K69" s="16" t="n"/>
      <c r="L69" s="18">
        <f>IF(AND(D69="",E69=""),"",IFERROR(IF(F69&lt;&gt;"",F69,0)+IF(H69&lt;&gt;"",H69,0)+IF(J69&lt;&gt;"",J69,0),""))</f>
        <v/>
      </c>
      <c r="M69" s="18">
        <f>IF(AND(D69="",E69=""),"",IFERROR(IF(G69&lt;&gt;"",G69,0)+IF(I69&lt;&gt;"",I69,0)+IF(K69&lt;&gt;"",K69,0),""))</f>
        <v/>
      </c>
      <c r="N69" s="18">
        <f>IF(OR(L69="",M69=""),"",IF(L69&gt;M69,D69,IF(M69&gt;L69,E69,"Draw")))</f>
        <v/>
      </c>
      <c r="O69" s="18">
        <f>IF(AND(D69="",E69=""),"",IF(AND(L69&lt;&gt;"",M69&lt;&gt;""),"Completed","Scheduled"))</f>
        <v/>
      </c>
    </row>
    <row r="70">
      <c r="A70" s="15" t="n"/>
      <c r="B70" s="16" t="n"/>
      <c r="C70" s="16" t="n"/>
      <c r="D70" s="17" t="n"/>
      <c r="E70" s="17" t="n"/>
      <c r="F70" s="16" t="n"/>
      <c r="G70" s="16" t="n"/>
      <c r="H70" s="16" t="n"/>
      <c r="I70" s="16" t="n"/>
      <c r="J70" s="16" t="n"/>
      <c r="K70" s="16" t="n"/>
      <c r="L70" s="18">
        <f>IF(AND(D70="",E70=""),"",IFERROR(IF(F70&lt;&gt;"",F70,0)+IF(H70&lt;&gt;"",H70,0)+IF(J70&lt;&gt;"",J70,0),""))</f>
        <v/>
      </c>
      <c r="M70" s="18">
        <f>IF(AND(D70="",E70=""),"",IFERROR(IF(G70&lt;&gt;"",G70,0)+IF(I70&lt;&gt;"",I70,0)+IF(K70&lt;&gt;"",K70,0),""))</f>
        <v/>
      </c>
      <c r="N70" s="18">
        <f>IF(OR(L70="",M70=""),"",IF(L70&gt;M70,D70,IF(M70&gt;L70,E70,"Draw")))</f>
        <v/>
      </c>
      <c r="O70" s="18">
        <f>IF(AND(D70="",E70=""),"",IF(AND(L70&lt;&gt;"",M70&lt;&gt;""),"Completed","Scheduled"))</f>
        <v/>
      </c>
    </row>
    <row r="71">
      <c r="A71" s="15" t="n"/>
      <c r="B71" s="16" t="n"/>
      <c r="C71" s="16" t="n"/>
      <c r="D71" s="17" t="n"/>
      <c r="E71" s="17" t="n"/>
      <c r="F71" s="16" t="n"/>
      <c r="G71" s="16" t="n"/>
      <c r="H71" s="16" t="n"/>
      <c r="I71" s="16" t="n"/>
      <c r="J71" s="16" t="n"/>
      <c r="K71" s="16" t="n"/>
      <c r="L71" s="18">
        <f>IF(AND(D71="",E71=""),"",IFERROR(IF(F71&lt;&gt;"",F71,0)+IF(H71&lt;&gt;"",H71,0)+IF(J71&lt;&gt;"",J71,0),""))</f>
        <v/>
      </c>
      <c r="M71" s="18">
        <f>IF(AND(D71="",E71=""),"",IFERROR(IF(G71&lt;&gt;"",G71,0)+IF(I71&lt;&gt;"",I71,0)+IF(K71&lt;&gt;"",K71,0),""))</f>
        <v/>
      </c>
      <c r="N71" s="18">
        <f>IF(OR(L71="",M71=""),"",IF(L71&gt;M71,D71,IF(M71&gt;L71,E71,"Draw")))</f>
        <v/>
      </c>
      <c r="O71" s="18">
        <f>IF(AND(D71="",E71=""),"",IF(AND(L71&lt;&gt;"",M71&lt;&gt;""),"Completed","Scheduled"))</f>
        <v/>
      </c>
    </row>
    <row r="72">
      <c r="A72" s="15" t="n"/>
      <c r="B72" s="16" t="n"/>
      <c r="C72" s="16" t="n"/>
      <c r="D72" s="17" t="n"/>
      <c r="E72" s="17" t="n"/>
      <c r="F72" s="16" t="n"/>
      <c r="G72" s="16" t="n"/>
      <c r="H72" s="16" t="n"/>
      <c r="I72" s="16" t="n"/>
      <c r="J72" s="16" t="n"/>
      <c r="K72" s="16" t="n"/>
      <c r="L72" s="18">
        <f>IF(AND(D72="",E72=""),"",IFERROR(IF(F72&lt;&gt;"",F72,0)+IF(H72&lt;&gt;"",H72,0)+IF(J72&lt;&gt;"",J72,0),""))</f>
        <v/>
      </c>
      <c r="M72" s="18">
        <f>IF(AND(D72="",E72=""),"",IFERROR(IF(G72&lt;&gt;"",G72,0)+IF(I72&lt;&gt;"",I72,0)+IF(K72&lt;&gt;"",K72,0),""))</f>
        <v/>
      </c>
      <c r="N72" s="18">
        <f>IF(OR(L72="",M72=""),"",IF(L72&gt;M72,D72,IF(M72&gt;L72,E72,"Draw")))</f>
        <v/>
      </c>
      <c r="O72" s="18">
        <f>IF(AND(D72="",E72=""),"",IF(AND(L72&lt;&gt;"",M72&lt;&gt;""),"Completed","Scheduled"))</f>
        <v/>
      </c>
    </row>
    <row r="73">
      <c r="A73" s="15" t="n"/>
      <c r="B73" s="16" t="n"/>
      <c r="C73" s="16" t="n"/>
      <c r="D73" s="17" t="n"/>
      <c r="E73" s="17" t="n"/>
      <c r="F73" s="16" t="n"/>
      <c r="G73" s="16" t="n"/>
      <c r="H73" s="16" t="n"/>
      <c r="I73" s="16" t="n"/>
      <c r="J73" s="16" t="n"/>
      <c r="K73" s="16" t="n"/>
      <c r="L73" s="18">
        <f>IF(AND(D73="",E73=""),"",IFERROR(IF(F73&lt;&gt;"",F73,0)+IF(H73&lt;&gt;"",H73,0)+IF(J73&lt;&gt;"",J73,0),""))</f>
        <v/>
      </c>
      <c r="M73" s="18">
        <f>IF(AND(D73="",E73=""),"",IFERROR(IF(G73&lt;&gt;"",G73,0)+IF(I73&lt;&gt;"",I73,0)+IF(K73&lt;&gt;"",K73,0),""))</f>
        <v/>
      </c>
      <c r="N73" s="18">
        <f>IF(OR(L73="",M73=""),"",IF(L73&gt;M73,D73,IF(M73&gt;L73,E73,"Draw")))</f>
        <v/>
      </c>
      <c r="O73" s="18">
        <f>IF(AND(D73="",E73=""),"",IF(AND(L73&lt;&gt;"",M73&lt;&gt;""),"Completed","Scheduled"))</f>
        <v/>
      </c>
    </row>
    <row r="74">
      <c r="A74" s="15" t="n"/>
      <c r="B74" s="16" t="n"/>
      <c r="C74" s="16" t="n"/>
      <c r="D74" s="17" t="n"/>
      <c r="E74" s="17" t="n"/>
      <c r="F74" s="16" t="n"/>
      <c r="G74" s="16" t="n"/>
      <c r="H74" s="16" t="n"/>
      <c r="I74" s="16" t="n"/>
      <c r="J74" s="16" t="n"/>
      <c r="K74" s="16" t="n"/>
      <c r="L74" s="18">
        <f>IF(AND(D74="",E74=""),"",IFERROR(IF(F74&lt;&gt;"",F74,0)+IF(H74&lt;&gt;"",H74,0)+IF(J74&lt;&gt;"",J74,0),""))</f>
        <v/>
      </c>
      <c r="M74" s="18">
        <f>IF(AND(D74="",E74=""),"",IFERROR(IF(G74&lt;&gt;"",G74,0)+IF(I74&lt;&gt;"",I74,0)+IF(K74&lt;&gt;"",K74,0),""))</f>
        <v/>
      </c>
      <c r="N74" s="18">
        <f>IF(OR(L74="",M74=""),"",IF(L74&gt;M74,D74,IF(M74&gt;L74,E74,"Draw")))</f>
        <v/>
      </c>
      <c r="O74" s="18">
        <f>IF(AND(D74="",E74=""),"",IF(AND(L74&lt;&gt;"",M74&lt;&gt;""),"Completed","Scheduled"))</f>
        <v/>
      </c>
    </row>
    <row r="75">
      <c r="A75" s="15" t="n"/>
      <c r="B75" s="16" t="n"/>
      <c r="C75" s="16" t="n"/>
      <c r="D75" s="17" t="n"/>
      <c r="E75" s="17" t="n"/>
      <c r="F75" s="16" t="n"/>
      <c r="G75" s="16" t="n"/>
      <c r="H75" s="16" t="n"/>
      <c r="I75" s="16" t="n"/>
      <c r="J75" s="16" t="n"/>
      <c r="K75" s="16" t="n"/>
      <c r="L75" s="18">
        <f>IF(AND(D75="",E75=""),"",IFERROR(IF(F75&lt;&gt;"",F75,0)+IF(H75&lt;&gt;"",H75,0)+IF(J75&lt;&gt;"",J75,0),""))</f>
        <v/>
      </c>
      <c r="M75" s="18">
        <f>IF(AND(D75="",E75=""),"",IFERROR(IF(G75&lt;&gt;"",G75,0)+IF(I75&lt;&gt;"",I75,0)+IF(K75&lt;&gt;"",K75,0),""))</f>
        <v/>
      </c>
      <c r="N75" s="18">
        <f>IF(OR(L75="",M75=""),"",IF(L75&gt;M75,D75,IF(M75&gt;L75,E75,"Draw")))</f>
        <v/>
      </c>
      <c r="O75" s="18">
        <f>IF(AND(D75="",E75=""),"",IF(AND(L75&lt;&gt;"",M75&lt;&gt;""),"Completed","Scheduled"))</f>
        <v/>
      </c>
    </row>
    <row r="76">
      <c r="A76" s="15" t="n"/>
      <c r="B76" s="16" t="n"/>
      <c r="C76" s="16" t="n"/>
      <c r="D76" s="17" t="n"/>
      <c r="E76" s="17" t="n"/>
      <c r="F76" s="16" t="n"/>
      <c r="G76" s="16" t="n"/>
      <c r="H76" s="16" t="n"/>
      <c r="I76" s="16" t="n"/>
      <c r="J76" s="16" t="n"/>
      <c r="K76" s="16" t="n"/>
      <c r="L76" s="18">
        <f>IF(AND(D76="",E76=""),"",IFERROR(IF(F76&lt;&gt;"",F76,0)+IF(H76&lt;&gt;"",H76,0)+IF(J76&lt;&gt;"",J76,0),""))</f>
        <v/>
      </c>
      <c r="M76" s="18">
        <f>IF(AND(D76="",E76=""),"",IFERROR(IF(G76&lt;&gt;"",G76,0)+IF(I76&lt;&gt;"",I76,0)+IF(K76&lt;&gt;"",K76,0),""))</f>
        <v/>
      </c>
      <c r="N76" s="18">
        <f>IF(OR(L76="",M76=""),"",IF(L76&gt;M76,D76,IF(M76&gt;L76,E76,"Draw")))</f>
        <v/>
      </c>
      <c r="O76" s="18">
        <f>IF(AND(D76="",E76=""),"",IF(AND(L76&lt;&gt;"",M76&lt;&gt;""),"Completed","Scheduled"))</f>
        <v/>
      </c>
    </row>
    <row r="77">
      <c r="A77" s="15" t="n"/>
      <c r="B77" s="16" t="n"/>
      <c r="C77" s="16" t="n"/>
      <c r="D77" s="17" t="n"/>
      <c r="E77" s="17" t="n"/>
      <c r="F77" s="16" t="n"/>
      <c r="G77" s="16" t="n"/>
      <c r="H77" s="16" t="n"/>
      <c r="I77" s="16" t="n"/>
      <c r="J77" s="16" t="n"/>
      <c r="K77" s="16" t="n"/>
      <c r="L77" s="18">
        <f>IF(AND(D77="",E77=""),"",IFERROR(IF(F77&lt;&gt;"",F77,0)+IF(H77&lt;&gt;"",H77,0)+IF(J77&lt;&gt;"",J77,0),""))</f>
        <v/>
      </c>
      <c r="M77" s="18">
        <f>IF(AND(D77="",E77=""),"",IFERROR(IF(G77&lt;&gt;"",G77,0)+IF(I77&lt;&gt;"",I77,0)+IF(K77&lt;&gt;"",K77,0),""))</f>
        <v/>
      </c>
      <c r="N77" s="18">
        <f>IF(OR(L77="",M77=""),"",IF(L77&gt;M77,D77,IF(M77&gt;L77,E77,"Draw")))</f>
        <v/>
      </c>
      <c r="O77" s="18">
        <f>IF(AND(D77="",E77=""),"",IF(AND(L77&lt;&gt;"",M77&lt;&gt;""),"Completed","Scheduled"))</f>
        <v/>
      </c>
    </row>
    <row r="78">
      <c r="A78" s="15" t="n"/>
      <c r="B78" s="16" t="n"/>
      <c r="C78" s="16" t="n"/>
      <c r="D78" s="17" t="n"/>
      <c r="E78" s="17" t="n"/>
      <c r="F78" s="16" t="n"/>
      <c r="G78" s="16" t="n"/>
      <c r="H78" s="16" t="n"/>
      <c r="I78" s="16" t="n"/>
      <c r="J78" s="16" t="n"/>
      <c r="K78" s="16" t="n"/>
      <c r="L78" s="18">
        <f>IF(AND(D78="",E78=""),"",IFERROR(IF(F78&lt;&gt;"",F78,0)+IF(H78&lt;&gt;"",H78,0)+IF(J78&lt;&gt;"",J78,0),""))</f>
        <v/>
      </c>
      <c r="M78" s="18">
        <f>IF(AND(D78="",E78=""),"",IFERROR(IF(G78&lt;&gt;"",G78,0)+IF(I78&lt;&gt;"",I78,0)+IF(K78&lt;&gt;"",K78,0),""))</f>
        <v/>
      </c>
      <c r="N78" s="18">
        <f>IF(OR(L78="",M78=""),"",IF(L78&gt;M78,D78,IF(M78&gt;L78,E78,"Draw")))</f>
        <v/>
      </c>
      <c r="O78" s="18">
        <f>IF(AND(D78="",E78=""),"",IF(AND(L78&lt;&gt;"",M78&lt;&gt;""),"Completed","Scheduled"))</f>
        <v/>
      </c>
    </row>
    <row r="79">
      <c r="A79" s="15" t="n"/>
      <c r="B79" s="16" t="n"/>
      <c r="C79" s="16" t="n"/>
      <c r="D79" s="17" t="n"/>
      <c r="E79" s="17" t="n"/>
      <c r="F79" s="16" t="n"/>
      <c r="G79" s="16" t="n"/>
      <c r="H79" s="16" t="n"/>
      <c r="I79" s="16" t="n"/>
      <c r="J79" s="16" t="n"/>
      <c r="K79" s="16" t="n"/>
      <c r="L79" s="18">
        <f>IF(AND(D79="",E79=""),"",IFERROR(IF(F79&lt;&gt;"",F79,0)+IF(H79&lt;&gt;"",H79,0)+IF(J79&lt;&gt;"",J79,0),""))</f>
        <v/>
      </c>
      <c r="M79" s="18">
        <f>IF(AND(D79="",E79=""),"",IFERROR(IF(G79&lt;&gt;"",G79,0)+IF(I79&lt;&gt;"",I79,0)+IF(K79&lt;&gt;"",K79,0),""))</f>
        <v/>
      </c>
      <c r="N79" s="18">
        <f>IF(OR(L79="",M79=""),"",IF(L79&gt;M79,D79,IF(M79&gt;L79,E79,"Draw")))</f>
        <v/>
      </c>
      <c r="O79" s="18">
        <f>IF(AND(D79="",E79=""),"",IF(AND(L79&lt;&gt;"",M79&lt;&gt;""),"Completed","Scheduled"))</f>
        <v/>
      </c>
    </row>
    <row r="80">
      <c r="A80" s="15" t="n"/>
      <c r="B80" s="16" t="n"/>
      <c r="C80" s="16" t="n"/>
      <c r="D80" s="17" t="n"/>
      <c r="E80" s="17" t="n"/>
      <c r="F80" s="16" t="n"/>
      <c r="G80" s="16" t="n"/>
      <c r="H80" s="16" t="n"/>
      <c r="I80" s="16" t="n"/>
      <c r="J80" s="16" t="n"/>
      <c r="K80" s="16" t="n"/>
      <c r="L80" s="18">
        <f>IF(AND(D80="",E80=""),"",IFERROR(IF(F80&lt;&gt;"",F80,0)+IF(H80&lt;&gt;"",H80,0)+IF(J80&lt;&gt;"",J80,0),""))</f>
        <v/>
      </c>
      <c r="M80" s="18">
        <f>IF(AND(D80="",E80=""),"",IFERROR(IF(G80&lt;&gt;"",G80,0)+IF(I80&lt;&gt;"",I80,0)+IF(K80&lt;&gt;"",K80,0),""))</f>
        <v/>
      </c>
      <c r="N80" s="18">
        <f>IF(OR(L80="",M80=""),"",IF(L80&gt;M80,D80,IF(M80&gt;L80,E80,"Draw")))</f>
        <v/>
      </c>
      <c r="O80" s="18">
        <f>IF(AND(D80="",E80=""),"",IF(AND(L80&lt;&gt;"",M80&lt;&gt;""),"Completed","Scheduled"))</f>
        <v/>
      </c>
    </row>
    <row r="81">
      <c r="A81" s="15" t="n"/>
      <c r="B81" s="16" t="n"/>
      <c r="C81" s="16" t="n"/>
      <c r="D81" s="17" t="n"/>
      <c r="E81" s="17" t="n"/>
      <c r="F81" s="16" t="n"/>
      <c r="G81" s="16" t="n"/>
      <c r="H81" s="16" t="n"/>
      <c r="I81" s="16" t="n"/>
      <c r="J81" s="16" t="n"/>
      <c r="K81" s="16" t="n"/>
      <c r="L81" s="18">
        <f>IF(AND(D81="",E81=""),"",IFERROR(IF(F81&lt;&gt;"",F81,0)+IF(H81&lt;&gt;"",H81,0)+IF(J81&lt;&gt;"",J81,0),""))</f>
        <v/>
      </c>
      <c r="M81" s="18">
        <f>IF(AND(D81="",E81=""),"",IFERROR(IF(G81&lt;&gt;"",G81,0)+IF(I81&lt;&gt;"",I81,0)+IF(K81&lt;&gt;"",K81,0),""))</f>
        <v/>
      </c>
      <c r="N81" s="18">
        <f>IF(OR(L81="",M81=""),"",IF(L81&gt;M81,D81,IF(M81&gt;L81,E81,"Draw")))</f>
        <v/>
      </c>
      <c r="O81" s="18">
        <f>IF(AND(D81="",E81=""),"",IF(AND(L81&lt;&gt;"",M81&lt;&gt;""),"Completed","Scheduled"))</f>
        <v/>
      </c>
    </row>
    <row r="82">
      <c r="A82" s="15" t="n"/>
      <c r="B82" s="16" t="n"/>
      <c r="C82" s="16" t="n"/>
      <c r="D82" s="17" t="n"/>
      <c r="E82" s="17" t="n"/>
      <c r="F82" s="16" t="n"/>
      <c r="G82" s="16" t="n"/>
      <c r="H82" s="16" t="n"/>
      <c r="I82" s="16" t="n"/>
      <c r="J82" s="16" t="n"/>
      <c r="K82" s="16" t="n"/>
      <c r="L82" s="18">
        <f>IF(AND(D82="",E82=""),"",IFERROR(IF(F82&lt;&gt;"",F82,0)+IF(H82&lt;&gt;"",H82,0)+IF(J82&lt;&gt;"",J82,0),""))</f>
        <v/>
      </c>
      <c r="M82" s="18">
        <f>IF(AND(D82="",E82=""),"",IFERROR(IF(G82&lt;&gt;"",G82,0)+IF(I82&lt;&gt;"",I82,0)+IF(K82&lt;&gt;"",K82,0),""))</f>
        <v/>
      </c>
      <c r="N82" s="18">
        <f>IF(OR(L82="",M82=""),"",IF(L82&gt;M82,D82,IF(M82&gt;L82,E82,"Draw")))</f>
        <v/>
      </c>
      <c r="O82" s="18">
        <f>IF(AND(D82="",E82=""),"",IF(AND(L82&lt;&gt;"",M82&lt;&gt;""),"Completed","Scheduled"))</f>
        <v/>
      </c>
    </row>
    <row r="83">
      <c r="A83" s="15" t="n"/>
      <c r="B83" s="16" t="n"/>
      <c r="C83" s="16" t="n"/>
      <c r="D83" s="17" t="n"/>
      <c r="E83" s="17" t="n"/>
      <c r="F83" s="16" t="n"/>
      <c r="G83" s="16" t="n"/>
      <c r="H83" s="16" t="n"/>
      <c r="I83" s="16" t="n"/>
      <c r="J83" s="16" t="n"/>
      <c r="K83" s="16" t="n"/>
      <c r="L83" s="18">
        <f>IF(AND(D83="",E83=""),"",IFERROR(IF(F83&lt;&gt;"",F83,0)+IF(H83&lt;&gt;"",H83,0)+IF(J83&lt;&gt;"",J83,0),""))</f>
        <v/>
      </c>
      <c r="M83" s="18">
        <f>IF(AND(D83="",E83=""),"",IFERROR(IF(G83&lt;&gt;"",G83,0)+IF(I83&lt;&gt;"",I83,0)+IF(K83&lt;&gt;"",K83,0),""))</f>
        <v/>
      </c>
      <c r="N83" s="18">
        <f>IF(OR(L83="",M83=""),"",IF(L83&gt;M83,D83,IF(M83&gt;L83,E83,"Draw")))</f>
        <v/>
      </c>
      <c r="O83" s="18">
        <f>IF(AND(D83="",E83=""),"",IF(AND(L83&lt;&gt;"",M83&lt;&gt;""),"Completed","Scheduled"))</f>
        <v/>
      </c>
    </row>
    <row r="84">
      <c r="A84" s="15" t="n"/>
      <c r="B84" s="16" t="n"/>
      <c r="C84" s="16" t="n"/>
      <c r="D84" s="17" t="n"/>
      <c r="E84" s="17" t="n"/>
      <c r="F84" s="16" t="n"/>
      <c r="G84" s="16" t="n"/>
      <c r="H84" s="16" t="n"/>
      <c r="I84" s="16" t="n"/>
      <c r="J84" s="16" t="n"/>
      <c r="K84" s="16" t="n"/>
      <c r="L84" s="18">
        <f>IF(AND(D84="",E84=""),"",IFERROR(IF(F84&lt;&gt;"",F84,0)+IF(H84&lt;&gt;"",H84,0)+IF(J84&lt;&gt;"",J84,0),""))</f>
        <v/>
      </c>
      <c r="M84" s="18">
        <f>IF(AND(D84="",E84=""),"",IFERROR(IF(G84&lt;&gt;"",G84,0)+IF(I84&lt;&gt;"",I84,0)+IF(K84&lt;&gt;"",K84,0),""))</f>
        <v/>
      </c>
      <c r="N84" s="18">
        <f>IF(OR(L84="",M84=""),"",IF(L84&gt;M84,D84,IF(M84&gt;L84,E84,"Draw")))</f>
        <v/>
      </c>
      <c r="O84" s="18">
        <f>IF(AND(D84="",E84=""),"",IF(AND(L84&lt;&gt;"",M84&lt;&gt;""),"Completed","Scheduled"))</f>
        <v/>
      </c>
    </row>
    <row r="85">
      <c r="A85" s="15" t="n"/>
      <c r="B85" s="16" t="n"/>
      <c r="C85" s="16" t="n"/>
      <c r="D85" s="17" t="n"/>
      <c r="E85" s="17" t="n"/>
      <c r="F85" s="16" t="n"/>
      <c r="G85" s="16" t="n"/>
      <c r="H85" s="16" t="n"/>
      <c r="I85" s="16" t="n"/>
      <c r="J85" s="16" t="n"/>
      <c r="K85" s="16" t="n"/>
      <c r="L85" s="18">
        <f>IF(AND(D85="",E85=""),"",IFERROR(IF(F85&lt;&gt;"",F85,0)+IF(H85&lt;&gt;"",H85,0)+IF(J85&lt;&gt;"",J85,0),""))</f>
        <v/>
      </c>
      <c r="M85" s="18">
        <f>IF(AND(D85="",E85=""),"",IFERROR(IF(G85&lt;&gt;"",G85,0)+IF(I85&lt;&gt;"",I85,0)+IF(K85&lt;&gt;"",K85,0),""))</f>
        <v/>
      </c>
      <c r="N85" s="18">
        <f>IF(OR(L85="",M85=""),"",IF(L85&gt;M85,D85,IF(M85&gt;L85,E85,"Draw")))</f>
        <v/>
      </c>
      <c r="O85" s="18">
        <f>IF(AND(D85="",E85=""),"",IF(AND(L85&lt;&gt;"",M85&lt;&gt;""),"Completed","Scheduled"))</f>
        <v/>
      </c>
    </row>
    <row r="86">
      <c r="A86" s="15" t="n"/>
      <c r="B86" s="16" t="n"/>
      <c r="C86" s="16" t="n"/>
      <c r="D86" s="17" t="n"/>
      <c r="E86" s="17" t="n"/>
      <c r="F86" s="16" t="n"/>
      <c r="G86" s="16" t="n"/>
      <c r="H86" s="16" t="n"/>
      <c r="I86" s="16" t="n"/>
      <c r="J86" s="16" t="n"/>
      <c r="K86" s="16" t="n"/>
      <c r="L86" s="18">
        <f>IF(AND(D86="",E86=""),"",IFERROR(IF(F86&lt;&gt;"",F86,0)+IF(H86&lt;&gt;"",H86,0)+IF(J86&lt;&gt;"",J86,0),""))</f>
        <v/>
      </c>
      <c r="M86" s="18">
        <f>IF(AND(D86="",E86=""),"",IFERROR(IF(G86&lt;&gt;"",G86,0)+IF(I86&lt;&gt;"",I86,0)+IF(K86&lt;&gt;"",K86,0),""))</f>
        <v/>
      </c>
      <c r="N86" s="18">
        <f>IF(OR(L86="",M86=""),"",IF(L86&gt;M86,D86,IF(M86&gt;L86,E86,"Draw")))</f>
        <v/>
      </c>
      <c r="O86" s="18">
        <f>IF(AND(D86="",E86=""),"",IF(AND(L86&lt;&gt;"",M86&lt;&gt;""),"Completed","Scheduled"))</f>
        <v/>
      </c>
    </row>
    <row r="87">
      <c r="A87" s="15" t="n"/>
      <c r="B87" s="16" t="n"/>
      <c r="C87" s="16" t="n"/>
      <c r="D87" s="17" t="n"/>
      <c r="E87" s="17" t="n"/>
      <c r="F87" s="16" t="n"/>
      <c r="G87" s="16" t="n"/>
      <c r="H87" s="16" t="n"/>
      <c r="I87" s="16" t="n"/>
      <c r="J87" s="16" t="n"/>
      <c r="K87" s="16" t="n"/>
      <c r="L87" s="18">
        <f>IF(AND(D87="",E87=""),"",IFERROR(IF(F87&lt;&gt;"",F87,0)+IF(H87&lt;&gt;"",H87,0)+IF(J87&lt;&gt;"",J87,0),""))</f>
        <v/>
      </c>
      <c r="M87" s="18">
        <f>IF(AND(D87="",E87=""),"",IFERROR(IF(G87&lt;&gt;"",G87,0)+IF(I87&lt;&gt;"",I87,0)+IF(K87&lt;&gt;"",K87,0),""))</f>
        <v/>
      </c>
      <c r="N87" s="18">
        <f>IF(OR(L87="",M87=""),"",IF(L87&gt;M87,D87,IF(M87&gt;L87,E87,"Draw")))</f>
        <v/>
      </c>
      <c r="O87" s="18">
        <f>IF(AND(D87="",E87=""),"",IF(AND(L87&lt;&gt;"",M87&lt;&gt;""),"Completed","Scheduled"))</f>
        <v/>
      </c>
    </row>
    <row r="88">
      <c r="A88" s="15" t="n"/>
      <c r="B88" s="16" t="n"/>
      <c r="C88" s="16" t="n"/>
      <c r="D88" s="17" t="n"/>
      <c r="E88" s="17" t="n"/>
      <c r="F88" s="16" t="n"/>
      <c r="G88" s="16" t="n"/>
      <c r="H88" s="16" t="n"/>
      <c r="I88" s="16" t="n"/>
      <c r="J88" s="16" t="n"/>
      <c r="K88" s="16" t="n"/>
      <c r="L88" s="18">
        <f>IF(AND(D88="",E88=""),"",IFERROR(IF(F88&lt;&gt;"",F88,0)+IF(H88&lt;&gt;"",H88,0)+IF(J88&lt;&gt;"",J88,0),""))</f>
        <v/>
      </c>
      <c r="M88" s="18">
        <f>IF(AND(D88="",E88=""),"",IFERROR(IF(G88&lt;&gt;"",G88,0)+IF(I88&lt;&gt;"",I88,0)+IF(K88&lt;&gt;"",K88,0),""))</f>
        <v/>
      </c>
      <c r="N88" s="18">
        <f>IF(OR(L88="",M88=""),"",IF(L88&gt;M88,D88,IF(M88&gt;L88,E88,"Draw")))</f>
        <v/>
      </c>
      <c r="O88" s="18">
        <f>IF(AND(D88="",E88=""),"",IF(AND(L88&lt;&gt;"",M88&lt;&gt;""),"Completed","Scheduled"))</f>
        <v/>
      </c>
    </row>
    <row r="89">
      <c r="A89" s="15" t="n"/>
      <c r="B89" s="16" t="n"/>
      <c r="C89" s="16" t="n"/>
      <c r="D89" s="17" t="n"/>
      <c r="E89" s="17" t="n"/>
      <c r="F89" s="16" t="n"/>
      <c r="G89" s="16" t="n"/>
      <c r="H89" s="16" t="n"/>
      <c r="I89" s="16" t="n"/>
      <c r="J89" s="16" t="n"/>
      <c r="K89" s="16" t="n"/>
      <c r="L89" s="18">
        <f>IF(AND(D89="",E89=""),"",IFERROR(IF(F89&lt;&gt;"",F89,0)+IF(H89&lt;&gt;"",H89,0)+IF(J89&lt;&gt;"",J89,0),""))</f>
        <v/>
      </c>
      <c r="M89" s="18">
        <f>IF(AND(D89="",E89=""),"",IFERROR(IF(G89&lt;&gt;"",G89,0)+IF(I89&lt;&gt;"",I89,0)+IF(K89&lt;&gt;"",K89,0),""))</f>
        <v/>
      </c>
      <c r="N89" s="18">
        <f>IF(OR(L89="",M89=""),"",IF(L89&gt;M89,D89,IF(M89&gt;L89,E89,"Draw")))</f>
        <v/>
      </c>
      <c r="O89" s="18">
        <f>IF(AND(D89="",E89=""),"",IF(AND(L89&lt;&gt;"",M89&lt;&gt;""),"Completed","Scheduled"))</f>
        <v/>
      </c>
    </row>
    <row r="90">
      <c r="A90" s="15" t="n"/>
      <c r="B90" s="16" t="n"/>
      <c r="C90" s="16" t="n"/>
      <c r="D90" s="17" t="n"/>
      <c r="E90" s="17" t="n"/>
      <c r="F90" s="16" t="n"/>
      <c r="G90" s="16" t="n"/>
      <c r="H90" s="16" t="n"/>
      <c r="I90" s="16" t="n"/>
      <c r="J90" s="16" t="n"/>
      <c r="K90" s="16" t="n"/>
      <c r="L90" s="18">
        <f>IF(AND(D90="",E90=""),"",IFERROR(IF(F90&lt;&gt;"",F90,0)+IF(H90&lt;&gt;"",H90,0)+IF(J90&lt;&gt;"",J90,0),""))</f>
        <v/>
      </c>
      <c r="M90" s="18">
        <f>IF(AND(D90="",E90=""),"",IFERROR(IF(G90&lt;&gt;"",G90,0)+IF(I90&lt;&gt;"",I90,0)+IF(K90&lt;&gt;"",K90,0),""))</f>
        <v/>
      </c>
      <c r="N90" s="18">
        <f>IF(OR(L90="",M90=""),"",IF(L90&gt;M90,D90,IF(M90&gt;L90,E90,"Draw")))</f>
        <v/>
      </c>
      <c r="O90" s="18">
        <f>IF(AND(D90="",E90=""),"",IF(AND(L90&lt;&gt;"",M90&lt;&gt;""),"Completed","Scheduled"))</f>
        <v/>
      </c>
    </row>
    <row r="91">
      <c r="A91" s="15" t="n"/>
      <c r="B91" s="16" t="n"/>
      <c r="C91" s="16" t="n"/>
      <c r="D91" s="17" t="n"/>
      <c r="E91" s="17" t="n"/>
      <c r="F91" s="16" t="n"/>
      <c r="G91" s="16" t="n"/>
      <c r="H91" s="16" t="n"/>
      <c r="I91" s="16" t="n"/>
      <c r="J91" s="16" t="n"/>
      <c r="K91" s="16" t="n"/>
      <c r="L91" s="18">
        <f>IF(AND(D91="",E91=""),"",IFERROR(IF(F91&lt;&gt;"",F91,0)+IF(H91&lt;&gt;"",H91,0)+IF(J91&lt;&gt;"",J91,0),""))</f>
        <v/>
      </c>
      <c r="M91" s="18">
        <f>IF(AND(D91="",E91=""),"",IFERROR(IF(G91&lt;&gt;"",G91,0)+IF(I91&lt;&gt;"",I91,0)+IF(K91&lt;&gt;"",K91,0),""))</f>
        <v/>
      </c>
      <c r="N91" s="18">
        <f>IF(OR(L91="",M91=""),"",IF(L91&gt;M91,D91,IF(M91&gt;L91,E91,"Draw")))</f>
        <v/>
      </c>
      <c r="O91" s="18">
        <f>IF(AND(D91="",E91=""),"",IF(AND(L91&lt;&gt;"",M91&lt;&gt;""),"Completed","Scheduled"))</f>
        <v/>
      </c>
    </row>
    <row r="92">
      <c r="A92" s="15" t="n"/>
      <c r="B92" s="16" t="n"/>
      <c r="C92" s="16" t="n"/>
      <c r="D92" s="17" t="n"/>
      <c r="E92" s="17" t="n"/>
      <c r="F92" s="16" t="n"/>
      <c r="G92" s="16" t="n"/>
      <c r="H92" s="16" t="n"/>
      <c r="I92" s="16" t="n"/>
      <c r="J92" s="16" t="n"/>
      <c r="K92" s="16" t="n"/>
      <c r="L92" s="18">
        <f>IF(AND(D92="",E92=""),"",IFERROR(IF(F92&lt;&gt;"",F92,0)+IF(H92&lt;&gt;"",H92,0)+IF(J92&lt;&gt;"",J92,0),""))</f>
        <v/>
      </c>
      <c r="M92" s="18">
        <f>IF(AND(D92="",E92=""),"",IFERROR(IF(G92&lt;&gt;"",G92,0)+IF(I92&lt;&gt;"",I92,0)+IF(K92&lt;&gt;"",K92,0),""))</f>
        <v/>
      </c>
      <c r="N92" s="18">
        <f>IF(OR(L92="",M92=""),"",IF(L92&gt;M92,D92,IF(M92&gt;L92,E92,"Draw")))</f>
        <v/>
      </c>
      <c r="O92" s="18">
        <f>IF(AND(D92="",E92=""),"",IF(AND(L92&lt;&gt;"",M92&lt;&gt;""),"Completed","Scheduled"))</f>
        <v/>
      </c>
    </row>
    <row r="93">
      <c r="A93" s="15" t="n"/>
      <c r="B93" s="16" t="n"/>
      <c r="C93" s="16" t="n"/>
      <c r="D93" s="17" t="n"/>
      <c r="E93" s="17" t="n"/>
      <c r="F93" s="16" t="n"/>
      <c r="G93" s="16" t="n"/>
      <c r="H93" s="16" t="n"/>
      <c r="I93" s="16" t="n"/>
      <c r="J93" s="16" t="n"/>
      <c r="K93" s="16" t="n"/>
      <c r="L93" s="18">
        <f>IF(AND(D93="",E93=""),"",IFERROR(IF(F93&lt;&gt;"",F93,0)+IF(H93&lt;&gt;"",H93,0)+IF(J93&lt;&gt;"",J93,0),""))</f>
        <v/>
      </c>
      <c r="M93" s="18">
        <f>IF(AND(D93="",E93=""),"",IFERROR(IF(G93&lt;&gt;"",G93,0)+IF(I93&lt;&gt;"",I93,0)+IF(K93&lt;&gt;"",K93,0),""))</f>
        <v/>
      </c>
      <c r="N93" s="18">
        <f>IF(OR(L93="",M93=""),"",IF(L93&gt;M93,D93,IF(M93&gt;L93,E93,"Draw")))</f>
        <v/>
      </c>
      <c r="O93" s="18">
        <f>IF(AND(D93="",E93=""),"",IF(AND(L93&lt;&gt;"",M93&lt;&gt;""),"Completed","Scheduled"))</f>
        <v/>
      </c>
    </row>
    <row r="94">
      <c r="A94" s="15" t="n"/>
      <c r="B94" s="16" t="n"/>
      <c r="C94" s="16" t="n"/>
      <c r="D94" s="17" t="n"/>
      <c r="E94" s="17" t="n"/>
      <c r="F94" s="16" t="n"/>
      <c r="G94" s="16" t="n"/>
      <c r="H94" s="16" t="n"/>
      <c r="I94" s="16" t="n"/>
      <c r="J94" s="16" t="n"/>
      <c r="K94" s="16" t="n"/>
      <c r="L94" s="18">
        <f>IF(AND(D94="",E94=""),"",IFERROR(IF(F94&lt;&gt;"",F94,0)+IF(H94&lt;&gt;"",H94,0)+IF(J94&lt;&gt;"",J94,0),""))</f>
        <v/>
      </c>
      <c r="M94" s="18">
        <f>IF(AND(D94="",E94=""),"",IFERROR(IF(G94&lt;&gt;"",G94,0)+IF(I94&lt;&gt;"",I94,0)+IF(K94&lt;&gt;"",K94,0),""))</f>
        <v/>
      </c>
      <c r="N94" s="18">
        <f>IF(OR(L94="",M94=""),"",IF(L94&gt;M94,D94,IF(M94&gt;L94,E94,"Draw")))</f>
        <v/>
      </c>
      <c r="O94" s="18">
        <f>IF(AND(D94="",E94=""),"",IF(AND(L94&lt;&gt;"",M94&lt;&gt;""),"Completed","Scheduled"))</f>
        <v/>
      </c>
    </row>
    <row r="95">
      <c r="A95" s="15" t="n"/>
      <c r="B95" s="16" t="n"/>
      <c r="C95" s="16" t="n"/>
      <c r="D95" s="17" t="n"/>
      <c r="E95" s="17" t="n"/>
      <c r="F95" s="16" t="n"/>
      <c r="G95" s="16" t="n"/>
      <c r="H95" s="16" t="n"/>
      <c r="I95" s="16" t="n"/>
      <c r="J95" s="16" t="n"/>
      <c r="K95" s="16" t="n"/>
      <c r="L95" s="18">
        <f>IF(AND(D95="",E95=""),"",IFERROR(IF(F95&lt;&gt;"",F95,0)+IF(H95&lt;&gt;"",H95,0)+IF(J95&lt;&gt;"",J95,0),""))</f>
        <v/>
      </c>
      <c r="M95" s="18">
        <f>IF(AND(D95="",E95=""),"",IFERROR(IF(G95&lt;&gt;"",G95,0)+IF(I95&lt;&gt;"",I95,0)+IF(K95&lt;&gt;"",K95,0),""))</f>
        <v/>
      </c>
      <c r="N95" s="18">
        <f>IF(OR(L95="",M95=""),"",IF(L95&gt;M95,D95,IF(M95&gt;L95,E95,"Draw")))</f>
        <v/>
      </c>
      <c r="O95" s="18">
        <f>IF(AND(D95="",E95=""),"",IF(AND(L95&lt;&gt;"",M95&lt;&gt;""),"Completed","Scheduled"))</f>
        <v/>
      </c>
    </row>
    <row r="96">
      <c r="A96" s="15" t="n"/>
      <c r="B96" s="16" t="n"/>
      <c r="C96" s="16" t="n"/>
      <c r="D96" s="17" t="n"/>
      <c r="E96" s="17" t="n"/>
      <c r="F96" s="16" t="n"/>
      <c r="G96" s="16" t="n"/>
      <c r="H96" s="16" t="n"/>
      <c r="I96" s="16" t="n"/>
      <c r="J96" s="16" t="n"/>
      <c r="K96" s="16" t="n"/>
      <c r="L96" s="18">
        <f>IF(AND(D96="",E96=""),"",IFERROR(IF(F96&lt;&gt;"",F96,0)+IF(H96&lt;&gt;"",H96,0)+IF(J96&lt;&gt;"",J96,0),""))</f>
        <v/>
      </c>
      <c r="M96" s="18">
        <f>IF(AND(D96="",E96=""),"",IFERROR(IF(G96&lt;&gt;"",G96,0)+IF(I96&lt;&gt;"",I96,0)+IF(K96&lt;&gt;"",K96,0),""))</f>
        <v/>
      </c>
      <c r="N96" s="18">
        <f>IF(OR(L96="",M96=""),"",IF(L96&gt;M96,D96,IF(M96&gt;L96,E96,"Draw")))</f>
        <v/>
      </c>
      <c r="O96" s="18">
        <f>IF(AND(D96="",E96=""),"",IF(AND(L96&lt;&gt;"",M96&lt;&gt;""),"Completed","Scheduled"))</f>
        <v/>
      </c>
    </row>
    <row r="97">
      <c r="A97" s="15" t="n"/>
      <c r="B97" s="16" t="n"/>
      <c r="C97" s="16" t="n"/>
      <c r="D97" s="17" t="n"/>
      <c r="E97" s="17" t="n"/>
      <c r="F97" s="16" t="n"/>
      <c r="G97" s="16" t="n"/>
      <c r="H97" s="16" t="n"/>
      <c r="I97" s="16" t="n"/>
      <c r="J97" s="16" t="n"/>
      <c r="K97" s="16" t="n"/>
      <c r="L97" s="18">
        <f>IF(AND(D97="",E97=""),"",IFERROR(IF(F97&lt;&gt;"",F97,0)+IF(H97&lt;&gt;"",H97,0)+IF(J97&lt;&gt;"",J97,0),""))</f>
        <v/>
      </c>
      <c r="M97" s="18">
        <f>IF(AND(D97="",E97=""),"",IFERROR(IF(G97&lt;&gt;"",G97,0)+IF(I97&lt;&gt;"",I97,0)+IF(K97&lt;&gt;"",K97,0),""))</f>
        <v/>
      </c>
      <c r="N97" s="18">
        <f>IF(OR(L97="",M97=""),"",IF(L97&gt;M97,D97,IF(M97&gt;L97,E97,"Draw")))</f>
        <v/>
      </c>
      <c r="O97" s="18">
        <f>IF(AND(D97="",E97=""),"",IF(AND(L97&lt;&gt;"",M97&lt;&gt;""),"Completed","Scheduled"))</f>
        <v/>
      </c>
    </row>
    <row r="98">
      <c r="A98" s="15" t="n"/>
      <c r="B98" s="16" t="n"/>
      <c r="C98" s="16" t="n"/>
      <c r="D98" s="17" t="n"/>
      <c r="E98" s="17" t="n"/>
      <c r="F98" s="16" t="n"/>
      <c r="G98" s="16" t="n"/>
      <c r="H98" s="16" t="n"/>
      <c r="I98" s="16" t="n"/>
      <c r="J98" s="16" t="n"/>
      <c r="K98" s="16" t="n"/>
      <c r="L98" s="18">
        <f>IF(AND(D98="",E98=""),"",IFERROR(IF(F98&lt;&gt;"",F98,0)+IF(H98&lt;&gt;"",H98,0)+IF(J98&lt;&gt;"",J98,0),""))</f>
        <v/>
      </c>
      <c r="M98" s="18">
        <f>IF(AND(D98="",E98=""),"",IFERROR(IF(G98&lt;&gt;"",G98,0)+IF(I98&lt;&gt;"",I98,0)+IF(K98&lt;&gt;"",K98,0),""))</f>
        <v/>
      </c>
      <c r="N98" s="18">
        <f>IF(OR(L98="",M98=""),"",IF(L98&gt;M98,D98,IF(M98&gt;L98,E98,"Draw")))</f>
        <v/>
      </c>
      <c r="O98" s="18">
        <f>IF(AND(D98="",E98=""),"",IF(AND(L98&lt;&gt;"",M98&lt;&gt;""),"Completed","Scheduled"))</f>
        <v/>
      </c>
    </row>
    <row r="99">
      <c r="A99" s="15" t="n"/>
      <c r="B99" s="16" t="n"/>
      <c r="C99" s="16" t="n"/>
      <c r="D99" s="17" t="n"/>
      <c r="E99" s="17" t="n"/>
      <c r="F99" s="16" t="n"/>
      <c r="G99" s="16" t="n"/>
      <c r="H99" s="16" t="n"/>
      <c r="I99" s="16" t="n"/>
      <c r="J99" s="16" t="n"/>
      <c r="K99" s="16" t="n"/>
      <c r="L99" s="18">
        <f>IF(AND(D99="",E99=""),"",IFERROR(IF(F99&lt;&gt;"",F99,0)+IF(H99&lt;&gt;"",H99,0)+IF(J99&lt;&gt;"",J99,0),""))</f>
        <v/>
      </c>
      <c r="M99" s="18">
        <f>IF(AND(D99="",E99=""),"",IFERROR(IF(G99&lt;&gt;"",G99,0)+IF(I99&lt;&gt;"",I99,0)+IF(K99&lt;&gt;"",K99,0),""))</f>
        <v/>
      </c>
      <c r="N99" s="18">
        <f>IF(OR(L99="",M99=""),"",IF(L99&gt;M99,D99,IF(M99&gt;L99,E99,"Draw")))</f>
        <v/>
      </c>
      <c r="O99" s="18">
        <f>IF(AND(D99="",E99=""),"",IF(AND(L99&lt;&gt;"",M99&lt;&gt;""),"Completed","Scheduled"))</f>
        <v/>
      </c>
    </row>
    <row r="100">
      <c r="A100" s="15" t="n"/>
      <c r="B100" s="16" t="n"/>
      <c r="C100" s="16" t="n"/>
      <c r="D100" s="17" t="n"/>
      <c r="E100" s="17" t="n"/>
      <c r="F100" s="16" t="n"/>
      <c r="G100" s="16" t="n"/>
      <c r="H100" s="16" t="n"/>
      <c r="I100" s="16" t="n"/>
      <c r="J100" s="16" t="n"/>
      <c r="K100" s="16" t="n"/>
      <c r="L100" s="18">
        <f>IF(AND(D100="",E100=""),"",IFERROR(IF(F100&lt;&gt;"",F100,0)+IF(H100&lt;&gt;"",H100,0)+IF(J100&lt;&gt;"",J100,0),""))</f>
        <v/>
      </c>
      <c r="M100" s="18">
        <f>IF(AND(D100="",E100=""),"",IFERROR(IF(G100&lt;&gt;"",G100,0)+IF(I100&lt;&gt;"",I100,0)+IF(K100&lt;&gt;"",K100,0),""))</f>
        <v/>
      </c>
      <c r="N100" s="18">
        <f>IF(OR(L100="",M100=""),"",IF(L100&gt;M100,D100,IF(M100&gt;L100,E100,"Draw")))</f>
        <v/>
      </c>
      <c r="O100" s="18">
        <f>IF(AND(D100="",E100=""),"",IF(AND(L100&lt;&gt;"",M100&lt;&gt;""),"Completed","Scheduled"))</f>
        <v/>
      </c>
    </row>
    <row r="101">
      <c r="A101" s="15" t="n"/>
      <c r="B101" s="16" t="n"/>
      <c r="C101" s="16" t="n"/>
      <c r="D101" s="17" t="n"/>
      <c r="E101" s="17" t="n"/>
      <c r="F101" s="16" t="n"/>
      <c r="G101" s="16" t="n"/>
      <c r="H101" s="16" t="n"/>
      <c r="I101" s="16" t="n"/>
      <c r="J101" s="16" t="n"/>
      <c r="K101" s="16" t="n"/>
      <c r="L101" s="18">
        <f>IF(AND(D101="",E101=""),"",IFERROR(IF(F101&lt;&gt;"",F101,0)+IF(H101&lt;&gt;"",H101,0)+IF(J101&lt;&gt;"",J101,0),""))</f>
        <v/>
      </c>
      <c r="M101" s="18">
        <f>IF(AND(D101="",E101=""),"",IFERROR(IF(G101&lt;&gt;"",G101,0)+IF(I101&lt;&gt;"",I101,0)+IF(K101&lt;&gt;"",K101,0),""))</f>
        <v/>
      </c>
      <c r="N101" s="18">
        <f>IF(OR(L101="",M101=""),"",IF(L101&gt;M101,D101,IF(M101&gt;L101,E101,"Draw")))</f>
        <v/>
      </c>
      <c r="O101" s="18">
        <f>IF(AND(D101="",E101=""),"",IF(AND(L101&lt;&gt;"",M101&lt;&gt;""),"Completed","Scheduled"))</f>
        <v/>
      </c>
    </row>
    <row r="102">
      <c r="A102" s="15" t="n"/>
      <c r="B102" s="16" t="n"/>
      <c r="C102" s="16" t="n"/>
      <c r="D102" s="17" t="n"/>
      <c r="E102" s="17" t="n"/>
      <c r="F102" s="16" t="n"/>
      <c r="G102" s="16" t="n"/>
      <c r="H102" s="16" t="n"/>
      <c r="I102" s="16" t="n"/>
      <c r="J102" s="16" t="n"/>
      <c r="K102" s="16" t="n"/>
      <c r="L102" s="18">
        <f>IF(AND(D102="",E102=""),"",IFERROR(IF(F102&lt;&gt;"",F102,0)+IF(H102&lt;&gt;"",H102,0)+IF(J102&lt;&gt;"",J102,0),""))</f>
        <v/>
      </c>
      <c r="M102" s="18">
        <f>IF(AND(D102="",E102=""),"",IFERROR(IF(G102&lt;&gt;"",G102,0)+IF(I102&lt;&gt;"",I102,0)+IF(K102&lt;&gt;"",K102,0),""))</f>
        <v/>
      </c>
      <c r="N102" s="18">
        <f>IF(OR(L102="",M102=""),"",IF(L102&gt;M102,D102,IF(M102&gt;L102,E102,"Draw")))</f>
        <v/>
      </c>
      <c r="O102" s="18">
        <f>IF(AND(D102="",E102=""),"",IF(AND(L102&lt;&gt;"",M102&lt;&gt;""),"Completed","Scheduled"))</f>
        <v/>
      </c>
    </row>
    <row r="103">
      <c r="A103" s="15" t="n"/>
      <c r="B103" s="16" t="n"/>
      <c r="C103" s="16" t="n"/>
      <c r="D103" s="17" t="n"/>
      <c r="E103" s="17" t="n"/>
      <c r="F103" s="16" t="n"/>
      <c r="G103" s="16" t="n"/>
      <c r="H103" s="16" t="n"/>
      <c r="I103" s="16" t="n"/>
      <c r="J103" s="16" t="n"/>
      <c r="K103" s="16" t="n"/>
      <c r="L103" s="18">
        <f>IF(AND(D103="",E103=""),"",IFERROR(IF(F103&lt;&gt;"",F103,0)+IF(H103&lt;&gt;"",H103,0)+IF(J103&lt;&gt;"",J103,0),""))</f>
        <v/>
      </c>
      <c r="M103" s="18">
        <f>IF(AND(D103="",E103=""),"",IFERROR(IF(G103&lt;&gt;"",G103,0)+IF(I103&lt;&gt;"",I103,0)+IF(K103&lt;&gt;"",K103,0),""))</f>
        <v/>
      </c>
      <c r="N103" s="18">
        <f>IF(OR(L103="",M103=""),"",IF(L103&gt;M103,D103,IF(M103&gt;L103,E103,"Draw")))</f>
        <v/>
      </c>
      <c r="O103" s="18">
        <f>IF(AND(D103="",E103=""),"",IF(AND(L103&lt;&gt;"",M103&lt;&gt;""),"Completed","Scheduled"))</f>
        <v/>
      </c>
    </row>
    <row r="104">
      <c r="A104" s="15" t="n"/>
      <c r="B104" s="16" t="n"/>
      <c r="C104" s="16" t="n"/>
      <c r="D104" s="17" t="n"/>
      <c r="E104" s="17" t="n"/>
      <c r="F104" s="16" t="n"/>
      <c r="G104" s="16" t="n"/>
      <c r="H104" s="16" t="n"/>
      <c r="I104" s="16" t="n"/>
      <c r="J104" s="16" t="n"/>
      <c r="K104" s="16" t="n"/>
      <c r="L104" s="18">
        <f>IF(AND(D104="",E104=""),"",IFERROR(IF(F104&lt;&gt;"",F104,0)+IF(H104&lt;&gt;"",H104,0)+IF(J104&lt;&gt;"",J104,0),""))</f>
        <v/>
      </c>
      <c r="M104" s="18">
        <f>IF(AND(D104="",E104=""),"",IFERROR(IF(G104&lt;&gt;"",G104,0)+IF(I104&lt;&gt;"",I104,0)+IF(K104&lt;&gt;"",K104,0),""))</f>
        <v/>
      </c>
      <c r="N104" s="18">
        <f>IF(OR(L104="",M104=""),"",IF(L104&gt;M104,D104,IF(M104&gt;L104,E104,"Draw")))</f>
        <v/>
      </c>
      <c r="O104" s="18">
        <f>IF(AND(D104="",E104=""),"",IF(AND(L104&lt;&gt;"",M104&lt;&gt;""),"Completed","Scheduled"))</f>
        <v/>
      </c>
    </row>
    <row r="105">
      <c r="A105" s="15" t="n"/>
      <c r="B105" s="16" t="n"/>
      <c r="C105" s="16" t="n"/>
      <c r="D105" s="17" t="n"/>
      <c r="E105" s="17" t="n"/>
      <c r="F105" s="16" t="n"/>
      <c r="G105" s="16" t="n"/>
      <c r="H105" s="16" t="n"/>
      <c r="I105" s="16" t="n"/>
      <c r="J105" s="16" t="n"/>
      <c r="K105" s="16" t="n"/>
      <c r="L105" s="18">
        <f>IF(AND(D105="",E105=""),"",IFERROR(IF(F105&lt;&gt;"",F105,0)+IF(H105&lt;&gt;"",H105,0)+IF(J105&lt;&gt;"",J105,0),""))</f>
        <v/>
      </c>
      <c r="M105" s="18">
        <f>IF(AND(D105="",E105=""),"",IFERROR(IF(G105&lt;&gt;"",G105,0)+IF(I105&lt;&gt;"",I105,0)+IF(K105&lt;&gt;"",K105,0),""))</f>
        <v/>
      </c>
      <c r="N105" s="18">
        <f>IF(OR(L105="",M105=""),"",IF(L105&gt;M105,D105,IF(M105&gt;L105,E105,"Draw")))</f>
        <v/>
      </c>
      <c r="O105" s="18">
        <f>IF(AND(D105="",E105=""),"",IF(AND(L105&lt;&gt;"",M105&lt;&gt;""),"Completed","Scheduled"))</f>
        <v/>
      </c>
    </row>
    <row r="106">
      <c r="A106" s="15" t="n"/>
      <c r="B106" s="16" t="n"/>
      <c r="C106" s="16" t="n"/>
      <c r="D106" s="17" t="n"/>
      <c r="E106" s="17" t="n"/>
      <c r="F106" s="16" t="n"/>
      <c r="G106" s="16" t="n"/>
      <c r="H106" s="16" t="n"/>
      <c r="I106" s="16" t="n"/>
      <c r="J106" s="16" t="n"/>
      <c r="K106" s="16" t="n"/>
      <c r="L106" s="18">
        <f>IF(AND(D106="",E106=""),"",IFERROR(IF(F106&lt;&gt;"",F106,0)+IF(H106&lt;&gt;"",H106,0)+IF(J106&lt;&gt;"",J106,0),""))</f>
        <v/>
      </c>
      <c r="M106" s="18">
        <f>IF(AND(D106="",E106=""),"",IFERROR(IF(G106&lt;&gt;"",G106,0)+IF(I106&lt;&gt;"",I106,0)+IF(K106&lt;&gt;"",K106,0),""))</f>
        <v/>
      </c>
      <c r="N106" s="18">
        <f>IF(OR(L106="",M106=""),"",IF(L106&gt;M106,D106,IF(M106&gt;L106,E106,"Draw")))</f>
        <v/>
      </c>
      <c r="O106" s="18">
        <f>IF(AND(D106="",E106=""),"",IF(AND(L106&lt;&gt;"",M106&lt;&gt;""),"Completed","Scheduled"))</f>
        <v/>
      </c>
    </row>
    <row r="107">
      <c r="A107" s="15" t="n"/>
      <c r="B107" s="16" t="n"/>
      <c r="C107" s="16" t="n"/>
      <c r="D107" s="17" t="n"/>
      <c r="E107" s="17" t="n"/>
      <c r="F107" s="16" t="n"/>
      <c r="G107" s="16" t="n"/>
      <c r="H107" s="16" t="n"/>
      <c r="I107" s="16" t="n"/>
      <c r="J107" s="16" t="n"/>
      <c r="K107" s="16" t="n"/>
      <c r="L107" s="18">
        <f>IF(AND(D107="",E107=""),"",IFERROR(IF(F107&lt;&gt;"",F107,0)+IF(H107&lt;&gt;"",H107,0)+IF(J107&lt;&gt;"",J107,0),""))</f>
        <v/>
      </c>
      <c r="M107" s="18">
        <f>IF(AND(D107="",E107=""),"",IFERROR(IF(G107&lt;&gt;"",G107,0)+IF(I107&lt;&gt;"",I107,0)+IF(K107&lt;&gt;"",K107,0),""))</f>
        <v/>
      </c>
      <c r="N107" s="18">
        <f>IF(OR(L107="",M107=""),"",IF(L107&gt;M107,D107,IF(M107&gt;L107,E107,"Draw")))</f>
        <v/>
      </c>
      <c r="O107" s="18">
        <f>IF(AND(D107="",E107=""),"",IF(AND(L107&lt;&gt;"",M107&lt;&gt;""),"Completed","Scheduled"))</f>
        <v/>
      </c>
    </row>
    <row r="108">
      <c r="A108" s="15" t="n"/>
      <c r="B108" s="16" t="n"/>
      <c r="C108" s="16" t="n"/>
      <c r="D108" s="17" t="n"/>
      <c r="E108" s="17" t="n"/>
      <c r="F108" s="16" t="n"/>
      <c r="G108" s="16" t="n"/>
      <c r="H108" s="16" t="n"/>
      <c r="I108" s="16" t="n"/>
      <c r="J108" s="16" t="n"/>
      <c r="K108" s="16" t="n"/>
      <c r="L108" s="18">
        <f>IF(AND(D108="",E108=""),"",IFERROR(IF(F108&lt;&gt;"",F108,0)+IF(H108&lt;&gt;"",H108,0)+IF(J108&lt;&gt;"",J108,0),""))</f>
        <v/>
      </c>
      <c r="M108" s="18">
        <f>IF(AND(D108="",E108=""),"",IFERROR(IF(G108&lt;&gt;"",G108,0)+IF(I108&lt;&gt;"",I108,0)+IF(K108&lt;&gt;"",K108,0),""))</f>
        <v/>
      </c>
      <c r="N108" s="18">
        <f>IF(OR(L108="",M108=""),"",IF(L108&gt;M108,D108,IF(M108&gt;L108,E108,"Draw")))</f>
        <v/>
      </c>
      <c r="O108" s="18">
        <f>IF(AND(D108="",E108=""),"",IF(AND(L108&lt;&gt;"",M108&lt;&gt;""),"Completed","Scheduled"))</f>
        <v/>
      </c>
    </row>
    <row r="109">
      <c r="A109" s="15" t="n"/>
      <c r="B109" s="16" t="n"/>
      <c r="C109" s="16" t="n"/>
      <c r="D109" s="17" t="n"/>
      <c r="E109" s="17" t="n"/>
      <c r="F109" s="16" t="n"/>
      <c r="G109" s="16" t="n"/>
      <c r="H109" s="16" t="n"/>
      <c r="I109" s="16" t="n"/>
      <c r="J109" s="16" t="n"/>
      <c r="K109" s="16" t="n"/>
      <c r="L109" s="18">
        <f>IF(AND(D109="",E109=""),"",IFERROR(IF(F109&lt;&gt;"",F109,0)+IF(H109&lt;&gt;"",H109,0)+IF(J109&lt;&gt;"",J109,0),""))</f>
        <v/>
      </c>
      <c r="M109" s="18">
        <f>IF(AND(D109="",E109=""),"",IFERROR(IF(G109&lt;&gt;"",G109,0)+IF(I109&lt;&gt;"",I109,0)+IF(K109&lt;&gt;"",K109,0),""))</f>
        <v/>
      </c>
      <c r="N109" s="18">
        <f>IF(OR(L109="",M109=""),"",IF(L109&gt;M109,D109,IF(M109&gt;L109,E109,"Draw")))</f>
        <v/>
      </c>
      <c r="O109" s="18">
        <f>IF(AND(D109="",E109=""),"",IF(AND(L109&lt;&gt;"",M109&lt;&gt;""),"Completed","Scheduled"))</f>
        <v/>
      </c>
    </row>
    <row r="110">
      <c r="A110" s="15" t="n"/>
      <c r="B110" s="16" t="n"/>
      <c r="C110" s="16" t="n"/>
      <c r="D110" s="17" t="n"/>
      <c r="E110" s="17" t="n"/>
      <c r="F110" s="16" t="n"/>
      <c r="G110" s="16" t="n"/>
      <c r="H110" s="16" t="n"/>
      <c r="I110" s="16" t="n"/>
      <c r="J110" s="16" t="n"/>
      <c r="K110" s="16" t="n"/>
      <c r="L110" s="18">
        <f>IF(AND(D110="",E110=""),"",IFERROR(IF(F110&lt;&gt;"",F110,0)+IF(H110&lt;&gt;"",H110,0)+IF(J110&lt;&gt;"",J110,0),""))</f>
        <v/>
      </c>
      <c r="M110" s="18">
        <f>IF(AND(D110="",E110=""),"",IFERROR(IF(G110&lt;&gt;"",G110,0)+IF(I110&lt;&gt;"",I110,0)+IF(K110&lt;&gt;"",K110,0),""))</f>
        <v/>
      </c>
      <c r="N110" s="18">
        <f>IF(OR(L110="",M110=""),"",IF(L110&gt;M110,D110,IF(M110&gt;L110,E110,"Draw")))</f>
        <v/>
      </c>
      <c r="O110" s="18">
        <f>IF(AND(D110="",E110=""),"",IF(AND(L110&lt;&gt;"",M110&lt;&gt;""),"Completed","Scheduled"))</f>
        <v/>
      </c>
    </row>
    <row r="111">
      <c r="A111" s="15" t="n"/>
      <c r="B111" s="16" t="n"/>
      <c r="C111" s="16" t="n"/>
      <c r="D111" s="17" t="n"/>
      <c r="E111" s="17" t="n"/>
      <c r="F111" s="16" t="n"/>
      <c r="G111" s="16" t="n"/>
      <c r="H111" s="16" t="n"/>
      <c r="I111" s="16" t="n"/>
      <c r="J111" s="16" t="n"/>
      <c r="K111" s="16" t="n"/>
      <c r="L111" s="18">
        <f>IF(AND(D111="",E111=""),"",IFERROR(IF(F111&lt;&gt;"",F111,0)+IF(H111&lt;&gt;"",H111,0)+IF(J111&lt;&gt;"",J111,0),""))</f>
        <v/>
      </c>
      <c r="M111" s="18">
        <f>IF(AND(D111="",E111=""),"",IFERROR(IF(G111&lt;&gt;"",G111,0)+IF(I111&lt;&gt;"",I111,0)+IF(K111&lt;&gt;"",K111,0),""))</f>
        <v/>
      </c>
      <c r="N111" s="18">
        <f>IF(OR(L111="",M111=""),"",IF(L111&gt;M111,D111,IF(M111&gt;L111,E111,"Draw")))</f>
        <v/>
      </c>
      <c r="O111" s="18">
        <f>IF(AND(D111="",E111=""),"",IF(AND(L111&lt;&gt;"",M111&lt;&gt;""),"Completed","Scheduled"))</f>
        <v/>
      </c>
    </row>
    <row r="112">
      <c r="A112" s="15" t="n"/>
      <c r="B112" s="16" t="n"/>
      <c r="C112" s="16" t="n"/>
      <c r="D112" s="17" t="n"/>
      <c r="E112" s="17" t="n"/>
      <c r="F112" s="16" t="n"/>
      <c r="G112" s="16" t="n"/>
      <c r="H112" s="16" t="n"/>
      <c r="I112" s="16" t="n"/>
      <c r="J112" s="16" t="n"/>
      <c r="K112" s="16" t="n"/>
      <c r="L112" s="18">
        <f>IF(AND(D112="",E112=""),"",IFERROR(IF(F112&lt;&gt;"",F112,0)+IF(H112&lt;&gt;"",H112,0)+IF(J112&lt;&gt;"",J112,0),""))</f>
        <v/>
      </c>
      <c r="M112" s="18">
        <f>IF(AND(D112="",E112=""),"",IFERROR(IF(G112&lt;&gt;"",G112,0)+IF(I112&lt;&gt;"",I112,0)+IF(K112&lt;&gt;"",K112,0),""))</f>
        <v/>
      </c>
      <c r="N112" s="18">
        <f>IF(OR(L112="",M112=""),"",IF(L112&gt;M112,D112,IF(M112&gt;L112,E112,"Draw")))</f>
        <v/>
      </c>
      <c r="O112" s="18">
        <f>IF(AND(D112="",E112=""),"",IF(AND(L112&lt;&gt;"",M112&lt;&gt;""),"Completed","Scheduled"))</f>
        <v/>
      </c>
    </row>
    <row r="113">
      <c r="A113" s="15" t="n"/>
      <c r="B113" s="16" t="n"/>
      <c r="C113" s="16" t="n"/>
      <c r="D113" s="17" t="n"/>
      <c r="E113" s="17" t="n"/>
      <c r="F113" s="16" t="n"/>
      <c r="G113" s="16" t="n"/>
      <c r="H113" s="16" t="n"/>
      <c r="I113" s="16" t="n"/>
      <c r="J113" s="16" t="n"/>
      <c r="K113" s="16" t="n"/>
      <c r="L113" s="18">
        <f>IF(AND(D113="",E113=""),"",IFERROR(IF(F113&lt;&gt;"",F113,0)+IF(H113&lt;&gt;"",H113,0)+IF(J113&lt;&gt;"",J113,0),""))</f>
        <v/>
      </c>
      <c r="M113" s="18">
        <f>IF(AND(D113="",E113=""),"",IFERROR(IF(G113&lt;&gt;"",G113,0)+IF(I113&lt;&gt;"",I113,0)+IF(K113&lt;&gt;"",K113,0),""))</f>
        <v/>
      </c>
      <c r="N113" s="18">
        <f>IF(OR(L113="",M113=""),"",IF(L113&gt;M113,D113,IF(M113&gt;L113,E113,"Draw")))</f>
        <v/>
      </c>
      <c r="O113" s="18">
        <f>IF(AND(D113="",E113=""),"",IF(AND(L113&lt;&gt;"",M113&lt;&gt;""),"Completed","Scheduled"))</f>
        <v/>
      </c>
    </row>
    <row r="114">
      <c r="A114" s="15" t="n"/>
      <c r="B114" s="16" t="n"/>
      <c r="C114" s="16" t="n"/>
      <c r="D114" s="17" t="n"/>
      <c r="E114" s="17" t="n"/>
      <c r="F114" s="16" t="n"/>
      <c r="G114" s="16" t="n"/>
      <c r="H114" s="16" t="n"/>
      <c r="I114" s="16" t="n"/>
      <c r="J114" s="16" t="n"/>
      <c r="K114" s="16" t="n"/>
      <c r="L114" s="18">
        <f>IF(AND(D114="",E114=""),"",IFERROR(IF(F114&lt;&gt;"",F114,0)+IF(H114&lt;&gt;"",H114,0)+IF(J114&lt;&gt;"",J114,0),""))</f>
        <v/>
      </c>
      <c r="M114" s="18">
        <f>IF(AND(D114="",E114=""),"",IFERROR(IF(G114&lt;&gt;"",G114,0)+IF(I114&lt;&gt;"",I114,0)+IF(K114&lt;&gt;"",K114,0),""))</f>
        <v/>
      </c>
      <c r="N114" s="18">
        <f>IF(OR(L114="",M114=""),"",IF(L114&gt;M114,D114,IF(M114&gt;L114,E114,"Draw")))</f>
        <v/>
      </c>
      <c r="O114" s="18">
        <f>IF(AND(D114="",E114=""),"",IF(AND(L114&lt;&gt;"",M114&lt;&gt;""),"Completed","Scheduled"))</f>
        <v/>
      </c>
    </row>
    <row r="115">
      <c r="A115" s="15" t="n"/>
      <c r="B115" s="16" t="n"/>
      <c r="C115" s="16" t="n"/>
      <c r="D115" s="17" t="n"/>
      <c r="E115" s="17" t="n"/>
      <c r="F115" s="16" t="n"/>
      <c r="G115" s="16" t="n"/>
      <c r="H115" s="16" t="n"/>
      <c r="I115" s="16" t="n"/>
      <c r="J115" s="16" t="n"/>
      <c r="K115" s="16" t="n"/>
      <c r="L115" s="18">
        <f>IF(AND(D115="",E115=""),"",IFERROR(IF(F115&lt;&gt;"",F115,0)+IF(H115&lt;&gt;"",H115,0)+IF(J115&lt;&gt;"",J115,0),""))</f>
        <v/>
      </c>
      <c r="M115" s="18">
        <f>IF(AND(D115="",E115=""),"",IFERROR(IF(G115&lt;&gt;"",G115,0)+IF(I115&lt;&gt;"",I115,0)+IF(K115&lt;&gt;"",K115,0),""))</f>
        <v/>
      </c>
      <c r="N115" s="18">
        <f>IF(OR(L115="",M115=""),"",IF(L115&gt;M115,D115,IF(M115&gt;L115,E115,"Draw")))</f>
        <v/>
      </c>
      <c r="O115" s="18">
        <f>IF(AND(D115="",E115=""),"",IF(AND(L115&lt;&gt;"",M115&lt;&gt;""),"Completed","Scheduled"))</f>
        <v/>
      </c>
    </row>
    <row r="116">
      <c r="A116" s="15" t="n"/>
      <c r="B116" s="16" t="n"/>
      <c r="C116" s="16" t="n"/>
      <c r="D116" s="17" t="n"/>
      <c r="E116" s="17" t="n"/>
      <c r="F116" s="16" t="n"/>
      <c r="G116" s="16" t="n"/>
      <c r="H116" s="16" t="n"/>
      <c r="I116" s="16" t="n"/>
      <c r="J116" s="16" t="n"/>
      <c r="K116" s="16" t="n"/>
      <c r="L116" s="18">
        <f>IF(AND(D116="",E116=""),"",IFERROR(IF(F116&lt;&gt;"",F116,0)+IF(H116&lt;&gt;"",H116,0)+IF(J116&lt;&gt;"",J116,0),""))</f>
        <v/>
      </c>
      <c r="M116" s="18">
        <f>IF(AND(D116="",E116=""),"",IFERROR(IF(G116&lt;&gt;"",G116,0)+IF(I116&lt;&gt;"",I116,0)+IF(K116&lt;&gt;"",K116,0),""))</f>
        <v/>
      </c>
      <c r="N116" s="18">
        <f>IF(OR(L116="",M116=""),"",IF(L116&gt;M116,D116,IF(M116&gt;L116,E116,"Draw")))</f>
        <v/>
      </c>
      <c r="O116" s="18">
        <f>IF(AND(D116="",E116=""),"",IF(AND(L116&lt;&gt;"",M116&lt;&gt;""),"Completed","Scheduled"))</f>
        <v/>
      </c>
    </row>
    <row r="117">
      <c r="A117" s="15" t="n"/>
      <c r="B117" s="16" t="n"/>
      <c r="C117" s="16" t="n"/>
      <c r="D117" s="17" t="n"/>
      <c r="E117" s="17" t="n"/>
      <c r="F117" s="16" t="n"/>
      <c r="G117" s="16" t="n"/>
      <c r="H117" s="16" t="n"/>
      <c r="I117" s="16" t="n"/>
      <c r="J117" s="16" t="n"/>
      <c r="K117" s="16" t="n"/>
      <c r="L117" s="18">
        <f>IF(AND(D117="",E117=""),"",IFERROR(IF(F117&lt;&gt;"",F117,0)+IF(H117&lt;&gt;"",H117,0)+IF(J117&lt;&gt;"",J117,0),""))</f>
        <v/>
      </c>
      <c r="M117" s="18">
        <f>IF(AND(D117="",E117=""),"",IFERROR(IF(G117&lt;&gt;"",G117,0)+IF(I117&lt;&gt;"",I117,0)+IF(K117&lt;&gt;"",K117,0),""))</f>
        <v/>
      </c>
      <c r="N117" s="18">
        <f>IF(OR(L117="",M117=""),"",IF(L117&gt;M117,D117,IF(M117&gt;L117,E117,"Draw")))</f>
        <v/>
      </c>
      <c r="O117" s="18">
        <f>IF(AND(D117="",E117=""),"",IF(AND(L117&lt;&gt;"",M117&lt;&gt;""),"Completed","Scheduled"))</f>
        <v/>
      </c>
    </row>
    <row r="118">
      <c r="A118" s="15" t="n"/>
      <c r="B118" s="16" t="n"/>
      <c r="C118" s="16" t="n"/>
      <c r="D118" s="17" t="n"/>
      <c r="E118" s="17" t="n"/>
      <c r="F118" s="16" t="n"/>
      <c r="G118" s="16" t="n"/>
      <c r="H118" s="16" t="n"/>
      <c r="I118" s="16" t="n"/>
      <c r="J118" s="16" t="n"/>
      <c r="K118" s="16" t="n"/>
      <c r="L118" s="18">
        <f>IF(AND(D118="",E118=""),"",IFERROR(IF(F118&lt;&gt;"",F118,0)+IF(H118&lt;&gt;"",H118,0)+IF(J118&lt;&gt;"",J118,0),""))</f>
        <v/>
      </c>
      <c r="M118" s="18">
        <f>IF(AND(D118="",E118=""),"",IFERROR(IF(G118&lt;&gt;"",G118,0)+IF(I118&lt;&gt;"",I118,0)+IF(K118&lt;&gt;"",K118,0),""))</f>
        <v/>
      </c>
      <c r="N118" s="18">
        <f>IF(OR(L118="",M118=""),"",IF(L118&gt;M118,D118,IF(M118&gt;L118,E118,"Draw")))</f>
        <v/>
      </c>
      <c r="O118" s="18">
        <f>IF(AND(D118="",E118=""),"",IF(AND(L118&lt;&gt;"",M118&lt;&gt;""),"Completed","Scheduled"))</f>
        <v/>
      </c>
    </row>
    <row r="119">
      <c r="A119" s="15" t="n"/>
      <c r="B119" s="16" t="n"/>
      <c r="C119" s="16" t="n"/>
      <c r="D119" s="17" t="n"/>
      <c r="E119" s="17" t="n"/>
      <c r="F119" s="16" t="n"/>
      <c r="G119" s="16" t="n"/>
      <c r="H119" s="16" t="n"/>
      <c r="I119" s="16" t="n"/>
      <c r="J119" s="16" t="n"/>
      <c r="K119" s="16" t="n"/>
      <c r="L119" s="18">
        <f>IF(AND(D119="",E119=""),"",IFERROR(IF(F119&lt;&gt;"",F119,0)+IF(H119&lt;&gt;"",H119,0)+IF(J119&lt;&gt;"",J119,0),""))</f>
        <v/>
      </c>
      <c r="M119" s="18">
        <f>IF(AND(D119="",E119=""),"",IFERROR(IF(G119&lt;&gt;"",G119,0)+IF(I119&lt;&gt;"",I119,0)+IF(K119&lt;&gt;"",K119,0),""))</f>
        <v/>
      </c>
      <c r="N119" s="18">
        <f>IF(OR(L119="",M119=""),"",IF(L119&gt;M119,D119,IF(M119&gt;L119,E119,"Draw")))</f>
        <v/>
      </c>
      <c r="O119" s="18">
        <f>IF(AND(D119="",E119=""),"",IF(AND(L119&lt;&gt;"",M119&lt;&gt;""),"Completed","Scheduled"))</f>
        <v/>
      </c>
    </row>
    <row r="120">
      <c r="A120" s="15" t="n"/>
      <c r="B120" s="16" t="n"/>
      <c r="C120" s="16" t="n"/>
      <c r="D120" s="17" t="n"/>
      <c r="E120" s="17" t="n"/>
      <c r="F120" s="16" t="n"/>
      <c r="G120" s="16" t="n"/>
      <c r="H120" s="16" t="n"/>
      <c r="I120" s="16" t="n"/>
      <c r="J120" s="16" t="n"/>
      <c r="K120" s="16" t="n"/>
      <c r="L120" s="18">
        <f>IF(AND(D120="",E120=""),"",IFERROR(IF(F120&lt;&gt;"",F120,0)+IF(H120&lt;&gt;"",H120,0)+IF(J120&lt;&gt;"",J120,0),""))</f>
        <v/>
      </c>
      <c r="M120" s="18">
        <f>IF(AND(D120="",E120=""),"",IFERROR(IF(G120&lt;&gt;"",G120,0)+IF(I120&lt;&gt;"",I120,0)+IF(K120&lt;&gt;"",K120,0),""))</f>
        <v/>
      </c>
      <c r="N120" s="18">
        <f>IF(OR(L120="",M120=""),"",IF(L120&gt;M120,D120,IF(M120&gt;L120,E120,"Draw")))</f>
        <v/>
      </c>
      <c r="O120" s="18">
        <f>IF(AND(D120="",E120=""),"",IF(AND(L120&lt;&gt;"",M120&lt;&gt;""),"Completed","Scheduled"))</f>
        <v/>
      </c>
    </row>
    <row r="121">
      <c r="A121" s="15" t="n"/>
      <c r="B121" s="16" t="n"/>
      <c r="C121" s="16" t="n"/>
      <c r="D121" s="17" t="n"/>
      <c r="E121" s="17" t="n"/>
      <c r="F121" s="16" t="n"/>
      <c r="G121" s="16" t="n"/>
      <c r="H121" s="16" t="n"/>
      <c r="I121" s="16" t="n"/>
      <c r="J121" s="16" t="n"/>
      <c r="K121" s="16" t="n"/>
      <c r="L121" s="18">
        <f>IF(AND(D121="",E121=""),"",IFERROR(IF(F121&lt;&gt;"",F121,0)+IF(H121&lt;&gt;"",H121,0)+IF(J121&lt;&gt;"",J121,0),""))</f>
        <v/>
      </c>
      <c r="M121" s="18">
        <f>IF(AND(D121="",E121=""),"",IFERROR(IF(G121&lt;&gt;"",G121,0)+IF(I121&lt;&gt;"",I121,0)+IF(K121&lt;&gt;"",K121,0),""))</f>
        <v/>
      </c>
      <c r="N121" s="18">
        <f>IF(OR(L121="",M121=""),"",IF(L121&gt;M121,D121,IF(M121&gt;L121,E121,"Draw")))</f>
        <v/>
      </c>
      <c r="O121" s="18">
        <f>IF(AND(D121="",E121=""),"",IF(AND(L121&lt;&gt;"",M121&lt;&gt;""),"Completed","Scheduled"))</f>
        <v/>
      </c>
    </row>
    <row r="122">
      <c r="A122" s="15" t="n"/>
      <c r="B122" s="16" t="n"/>
      <c r="C122" s="16" t="n"/>
      <c r="D122" s="17" t="n"/>
      <c r="E122" s="17" t="n"/>
      <c r="F122" s="16" t="n"/>
      <c r="G122" s="16" t="n"/>
      <c r="H122" s="16" t="n"/>
      <c r="I122" s="16" t="n"/>
      <c r="J122" s="16" t="n"/>
      <c r="K122" s="16" t="n"/>
      <c r="L122" s="18">
        <f>IF(AND(D122="",E122=""),"",IFERROR(IF(F122&lt;&gt;"",F122,0)+IF(H122&lt;&gt;"",H122,0)+IF(J122&lt;&gt;"",J122,0),""))</f>
        <v/>
      </c>
      <c r="M122" s="18">
        <f>IF(AND(D122="",E122=""),"",IFERROR(IF(G122&lt;&gt;"",G122,0)+IF(I122&lt;&gt;"",I122,0)+IF(K122&lt;&gt;"",K122,0),""))</f>
        <v/>
      </c>
      <c r="N122" s="18">
        <f>IF(OR(L122="",M122=""),"",IF(L122&gt;M122,D122,IF(M122&gt;L122,E122,"Draw")))</f>
        <v/>
      </c>
      <c r="O122" s="18">
        <f>IF(AND(D122="",E122=""),"",IF(AND(L122&lt;&gt;"",M122&lt;&gt;""),"Completed","Scheduled"))</f>
        <v/>
      </c>
    </row>
    <row r="123">
      <c r="A123" s="15" t="n"/>
      <c r="B123" s="16" t="n"/>
      <c r="C123" s="16" t="n"/>
      <c r="D123" s="17" t="n"/>
      <c r="E123" s="17" t="n"/>
      <c r="F123" s="16" t="n"/>
      <c r="G123" s="16" t="n"/>
      <c r="H123" s="16" t="n"/>
      <c r="I123" s="16" t="n"/>
      <c r="J123" s="16" t="n"/>
      <c r="K123" s="16" t="n"/>
      <c r="L123" s="18">
        <f>IF(AND(D123="",E123=""),"",IFERROR(IF(F123&lt;&gt;"",F123,0)+IF(H123&lt;&gt;"",H123,0)+IF(J123&lt;&gt;"",J123,0),""))</f>
        <v/>
      </c>
      <c r="M123" s="18">
        <f>IF(AND(D123="",E123=""),"",IFERROR(IF(G123&lt;&gt;"",G123,0)+IF(I123&lt;&gt;"",I123,0)+IF(K123&lt;&gt;"",K123,0),""))</f>
        <v/>
      </c>
      <c r="N123" s="18">
        <f>IF(OR(L123="",M123=""),"",IF(L123&gt;M123,D123,IF(M123&gt;L123,E123,"Draw")))</f>
        <v/>
      </c>
      <c r="O123" s="18">
        <f>IF(AND(D123="",E123=""),"",IF(AND(L123&lt;&gt;"",M123&lt;&gt;""),"Completed","Scheduled"))</f>
        <v/>
      </c>
    </row>
    <row r="124">
      <c r="A124" s="15" t="n"/>
      <c r="B124" s="16" t="n"/>
      <c r="C124" s="16" t="n"/>
      <c r="D124" s="17" t="n"/>
      <c r="E124" s="17" t="n"/>
      <c r="F124" s="16" t="n"/>
      <c r="G124" s="16" t="n"/>
      <c r="H124" s="16" t="n"/>
      <c r="I124" s="16" t="n"/>
      <c r="J124" s="16" t="n"/>
      <c r="K124" s="16" t="n"/>
      <c r="L124" s="18">
        <f>IF(AND(D124="",E124=""),"",IFERROR(IF(F124&lt;&gt;"",F124,0)+IF(H124&lt;&gt;"",H124,0)+IF(J124&lt;&gt;"",J124,0),""))</f>
        <v/>
      </c>
      <c r="M124" s="18">
        <f>IF(AND(D124="",E124=""),"",IFERROR(IF(G124&lt;&gt;"",G124,0)+IF(I124&lt;&gt;"",I124,0)+IF(K124&lt;&gt;"",K124,0),""))</f>
        <v/>
      </c>
      <c r="N124" s="18">
        <f>IF(OR(L124="",M124=""),"",IF(L124&gt;M124,D124,IF(M124&gt;L124,E124,"Draw")))</f>
        <v/>
      </c>
      <c r="O124" s="18">
        <f>IF(AND(D124="",E124=""),"",IF(AND(L124&lt;&gt;"",M124&lt;&gt;""),"Completed","Scheduled"))</f>
        <v/>
      </c>
    </row>
    <row r="125">
      <c r="A125" s="15" t="n"/>
      <c r="B125" s="16" t="n"/>
      <c r="C125" s="16" t="n"/>
      <c r="D125" s="17" t="n"/>
      <c r="E125" s="17" t="n"/>
      <c r="F125" s="16" t="n"/>
      <c r="G125" s="16" t="n"/>
      <c r="H125" s="16" t="n"/>
      <c r="I125" s="16" t="n"/>
      <c r="J125" s="16" t="n"/>
      <c r="K125" s="16" t="n"/>
      <c r="L125" s="18">
        <f>IF(AND(D125="",E125=""),"",IFERROR(IF(F125&lt;&gt;"",F125,0)+IF(H125&lt;&gt;"",H125,0)+IF(J125&lt;&gt;"",J125,0),""))</f>
        <v/>
      </c>
      <c r="M125" s="18">
        <f>IF(AND(D125="",E125=""),"",IFERROR(IF(G125&lt;&gt;"",G125,0)+IF(I125&lt;&gt;"",I125,0)+IF(K125&lt;&gt;"",K125,0),""))</f>
        <v/>
      </c>
      <c r="N125" s="18">
        <f>IF(OR(L125="",M125=""),"",IF(L125&gt;M125,D125,IF(M125&gt;L125,E125,"Draw")))</f>
        <v/>
      </c>
      <c r="O125" s="18">
        <f>IF(AND(D125="",E125=""),"",IF(AND(L125&lt;&gt;"",M125&lt;&gt;""),"Completed","Scheduled"))</f>
        <v/>
      </c>
    </row>
    <row r="126">
      <c r="A126" s="15" t="n"/>
      <c r="B126" s="16" t="n"/>
      <c r="C126" s="16" t="n"/>
      <c r="D126" s="17" t="n"/>
      <c r="E126" s="17" t="n"/>
      <c r="F126" s="16" t="n"/>
      <c r="G126" s="16" t="n"/>
      <c r="H126" s="16" t="n"/>
      <c r="I126" s="16" t="n"/>
      <c r="J126" s="16" t="n"/>
      <c r="K126" s="16" t="n"/>
      <c r="L126" s="18">
        <f>IF(AND(D126="",E126=""),"",IFERROR(IF(F126&lt;&gt;"",F126,0)+IF(H126&lt;&gt;"",H126,0)+IF(J126&lt;&gt;"",J126,0),""))</f>
        <v/>
      </c>
      <c r="M126" s="18">
        <f>IF(AND(D126="",E126=""),"",IFERROR(IF(G126&lt;&gt;"",G126,0)+IF(I126&lt;&gt;"",I126,0)+IF(K126&lt;&gt;"",K126,0),""))</f>
        <v/>
      </c>
      <c r="N126" s="18">
        <f>IF(OR(L126="",M126=""),"",IF(L126&gt;M126,D126,IF(M126&gt;L126,E126,"Draw")))</f>
        <v/>
      </c>
      <c r="O126" s="18">
        <f>IF(AND(D126="",E126=""),"",IF(AND(L126&lt;&gt;"",M126&lt;&gt;""),"Completed","Scheduled"))</f>
        <v/>
      </c>
    </row>
    <row r="127">
      <c r="A127" s="15" t="n"/>
      <c r="B127" s="16" t="n"/>
      <c r="C127" s="16" t="n"/>
      <c r="D127" s="17" t="n"/>
      <c r="E127" s="17" t="n"/>
      <c r="F127" s="16" t="n"/>
      <c r="G127" s="16" t="n"/>
      <c r="H127" s="16" t="n"/>
      <c r="I127" s="16" t="n"/>
      <c r="J127" s="16" t="n"/>
      <c r="K127" s="16" t="n"/>
      <c r="L127" s="18">
        <f>IF(AND(D127="",E127=""),"",IFERROR(IF(F127&lt;&gt;"",F127,0)+IF(H127&lt;&gt;"",H127,0)+IF(J127&lt;&gt;"",J127,0),""))</f>
        <v/>
      </c>
      <c r="M127" s="18">
        <f>IF(AND(D127="",E127=""),"",IFERROR(IF(G127&lt;&gt;"",G127,0)+IF(I127&lt;&gt;"",I127,0)+IF(K127&lt;&gt;"",K127,0),""))</f>
        <v/>
      </c>
      <c r="N127" s="18">
        <f>IF(OR(L127="",M127=""),"",IF(L127&gt;M127,D127,IF(M127&gt;L127,E127,"Draw")))</f>
        <v/>
      </c>
      <c r="O127" s="18">
        <f>IF(AND(D127="",E127=""),"",IF(AND(L127&lt;&gt;"",M127&lt;&gt;""),"Completed","Scheduled"))</f>
        <v/>
      </c>
    </row>
    <row r="128">
      <c r="A128" s="15" t="n"/>
      <c r="B128" s="16" t="n"/>
      <c r="C128" s="16" t="n"/>
      <c r="D128" s="17" t="n"/>
      <c r="E128" s="17" t="n"/>
      <c r="F128" s="16" t="n"/>
      <c r="G128" s="16" t="n"/>
      <c r="H128" s="16" t="n"/>
      <c r="I128" s="16" t="n"/>
      <c r="J128" s="16" t="n"/>
      <c r="K128" s="16" t="n"/>
      <c r="L128" s="18">
        <f>IF(AND(D128="",E128=""),"",IFERROR(IF(F128&lt;&gt;"",F128,0)+IF(H128&lt;&gt;"",H128,0)+IF(J128&lt;&gt;"",J128,0),""))</f>
        <v/>
      </c>
      <c r="M128" s="18">
        <f>IF(AND(D128="",E128=""),"",IFERROR(IF(G128&lt;&gt;"",G128,0)+IF(I128&lt;&gt;"",I128,0)+IF(K128&lt;&gt;"",K128,0),""))</f>
        <v/>
      </c>
      <c r="N128" s="18">
        <f>IF(OR(L128="",M128=""),"",IF(L128&gt;M128,D128,IF(M128&gt;L128,E128,"Draw")))</f>
        <v/>
      </c>
      <c r="O128" s="18">
        <f>IF(AND(D128="",E128=""),"",IF(AND(L128&lt;&gt;"",M128&lt;&gt;""),"Completed","Scheduled"))</f>
        <v/>
      </c>
    </row>
    <row r="129">
      <c r="A129" s="15" t="n"/>
      <c r="B129" s="16" t="n"/>
      <c r="C129" s="16" t="n"/>
      <c r="D129" s="17" t="n"/>
      <c r="E129" s="17" t="n"/>
      <c r="F129" s="16" t="n"/>
      <c r="G129" s="16" t="n"/>
      <c r="H129" s="16" t="n"/>
      <c r="I129" s="16" t="n"/>
      <c r="J129" s="16" t="n"/>
      <c r="K129" s="16" t="n"/>
      <c r="L129" s="18">
        <f>IF(AND(D129="",E129=""),"",IFERROR(IF(F129&lt;&gt;"",F129,0)+IF(H129&lt;&gt;"",H129,0)+IF(J129&lt;&gt;"",J129,0),""))</f>
        <v/>
      </c>
      <c r="M129" s="18">
        <f>IF(AND(D129="",E129=""),"",IFERROR(IF(G129&lt;&gt;"",G129,0)+IF(I129&lt;&gt;"",I129,0)+IF(K129&lt;&gt;"",K129,0),""))</f>
        <v/>
      </c>
      <c r="N129" s="18">
        <f>IF(OR(L129="",M129=""),"",IF(L129&gt;M129,D129,IF(M129&gt;L129,E129,"Draw")))</f>
        <v/>
      </c>
      <c r="O129" s="18">
        <f>IF(AND(D129="",E129=""),"",IF(AND(L129&lt;&gt;"",M129&lt;&gt;""),"Completed","Scheduled"))</f>
        <v/>
      </c>
    </row>
    <row r="130">
      <c r="A130" s="15" t="n"/>
      <c r="B130" s="16" t="n"/>
      <c r="C130" s="16" t="n"/>
      <c r="D130" s="17" t="n"/>
      <c r="E130" s="17" t="n"/>
      <c r="F130" s="16" t="n"/>
      <c r="G130" s="16" t="n"/>
      <c r="H130" s="16" t="n"/>
      <c r="I130" s="16" t="n"/>
      <c r="J130" s="16" t="n"/>
      <c r="K130" s="16" t="n"/>
      <c r="L130" s="18">
        <f>IF(AND(D130="",E130=""),"",IFERROR(IF(F130&lt;&gt;"",F130,0)+IF(H130&lt;&gt;"",H130,0)+IF(J130&lt;&gt;"",J130,0),""))</f>
        <v/>
      </c>
      <c r="M130" s="18">
        <f>IF(AND(D130="",E130=""),"",IFERROR(IF(G130&lt;&gt;"",G130,0)+IF(I130&lt;&gt;"",I130,0)+IF(K130&lt;&gt;"",K130,0),""))</f>
        <v/>
      </c>
      <c r="N130" s="18">
        <f>IF(OR(L130="",M130=""),"",IF(L130&gt;M130,D130,IF(M130&gt;L130,E130,"Draw")))</f>
        <v/>
      </c>
      <c r="O130" s="18">
        <f>IF(AND(D130="",E130=""),"",IF(AND(L130&lt;&gt;"",M130&lt;&gt;""),"Completed","Scheduled"))</f>
        <v/>
      </c>
    </row>
    <row r="131">
      <c r="A131" s="15" t="n"/>
      <c r="B131" s="16" t="n"/>
      <c r="C131" s="16" t="n"/>
      <c r="D131" s="17" t="n"/>
      <c r="E131" s="17" t="n"/>
      <c r="F131" s="16" t="n"/>
      <c r="G131" s="16" t="n"/>
      <c r="H131" s="16" t="n"/>
      <c r="I131" s="16" t="n"/>
      <c r="J131" s="16" t="n"/>
      <c r="K131" s="16" t="n"/>
      <c r="L131" s="18">
        <f>IF(AND(D131="",E131=""),"",IFERROR(IF(F131&lt;&gt;"",F131,0)+IF(H131&lt;&gt;"",H131,0)+IF(J131&lt;&gt;"",J131,0),""))</f>
        <v/>
      </c>
      <c r="M131" s="18">
        <f>IF(AND(D131="",E131=""),"",IFERROR(IF(G131&lt;&gt;"",G131,0)+IF(I131&lt;&gt;"",I131,0)+IF(K131&lt;&gt;"",K131,0),""))</f>
        <v/>
      </c>
      <c r="N131" s="18">
        <f>IF(OR(L131="",M131=""),"",IF(L131&gt;M131,D131,IF(M131&gt;L131,E131,"Draw")))</f>
        <v/>
      </c>
      <c r="O131" s="18">
        <f>IF(AND(D131="",E131=""),"",IF(AND(L131&lt;&gt;"",M131&lt;&gt;""),"Completed","Scheduled"))</f>
        <v/>
      </c>
    </row>
    <row r="132">
      <c r="A132" s="15" t="n"/>
      <c r="B132" s="16" t="n"/>
      <c r="C132" s="16" t="n"/>
      <c r="D132" s="17" t="n"/>
      <c r="E132" s="17" t="n"/>
      <c r="F132" s="16" t="n"/>
      <c r="G132" s="16" t="n"/>
      <c r="H132" s="16" t="n"/>
      <c r="I132" s="16" t="n"/>
      <c r="J132" s="16" t="n"/>
      <c r="K132" s="16" t="n"/>
      <c r="L132" s="18">
        <f>IF(AND(D132="",E132=""),"",IFERROR(IF(F132&lt;&gt;"",F132,0)+IF(H132&lt;&gt;"",H132,0)+IF(J132&lt;&gt;"",J132,0),""))</f>
        <v/>
      </c>
      <c r="M132" s="18">
        <f>IF(AND(D132="",E132=""),"",IFERROR(IF(G132&lt;&gt;"",G132,0)+IF(I132&lt;&gt;"",I132,0)+IF(K132&lt;&gt;"",K132,0),""))</f>
        <v/>
      </c>
      <c r="N132" s="18">
        <f>IF(OR(L132="",M132=""),"",IF(L132&gt;M132,D132,IF(M132&gt;L132,E132,"Draw")))</f>
        <v/>
      </c>
      <c r="O132" s="18">
        <f>IF(AND(D132="",E132=""),"",IF(AND(L132&lt;&gt;"",M132&lt;&gt;""),"Completed","Scheduled"))</f>
        <v/>
      </c>
    </row>
    <row r="133">
      <c r="A133" s="15" t="n"/>
      <c r="B133" s="16" t="n"/>
      <c r="C133" s="16" t="n"/>
      <c r="D133" s="17" t="n"/>
      <c r="E133" s="17" t="n"/>
      <c r="F133" s="16" t="n"/>
      <c r="G133" s="16" t="n"/>
      <c r="H133" s="16" t="n"/>
      <c r="I133" s="16" t="n"/>
      <c r="J133" s="16" t="n"/>
      <c r="K133" s="16" t="n"/>
      <c r="L133" s="18">
        <f>IF(AND(D133="",E133=""),"",IFERROR(IF(F133&lt;&gt;"",F133,0)+IF(H133&lt;&gt;"",H133,0)+IF(J133&lt;&gt;"",J133,0),""))</f>
        <v/>
      </c>
      <c r="M133" s="18">
        <f>IF(AND(D133="",E133=""),"",IFERROR(IF(G133&lt;&gt;"",G133,0)+IF(I133&lt;&gt;"",I133,0)+IF(K133&lt;&gt;"",K133,0),""))</f>
        <v/>
      </c>
      <c r="N133" s="18">
        <f>IF(OR(L133="",M133=""),"",IF(L133&gt;M133,D133,IF(M133&gt;L133,E133,"Draw")))</f>
        <v/>
      </c>
      <c r="O133" s="18">
        <f>IF(AND(D133="",E133=""),"",IF(AND(L133&lt;&gt;"",M133&lt;&gt;""),"Completed","Scheduled"))</f>
        <v/>
      </c>
    </row>
    <row r="134">
      <c r="A134" s="15" t="n"/>
      <c r="B134" s="16" t="n"/>
      <c r="C134" s="16" t="n"/>
      <c r="D134" s="17" t="n"/>
      <c r="E134" s="17" t="n"/>
      <c r="F134" s="16" t="n"/>
      <c r="G134" s="16" t="n"/>
      <c r="H134" s="16" t="n"/>
      <c r="I134" s="16" t="n"/>
      <c r="J134" s="16" t="n"/>
      <c r="K134" s="16" t="n"/>
      <c r="L134" s="18">
        <f>IF(AND(D134="",E134=""),"",IFERROR(IF(F134&lt;&gt;"",F134,0)+IF(H134&lt;&gt;"",H134,0)+IF(J134&lt;&gt;"",J134,0),""))</f>
        <v/>
      </c>
      <c r="M134" s="18">
        <f>IF(AND(D134="",E134=""),"",IFERROR(IF(G134&lt;&gt;"",G134,0)+IF(I134&lt;&gt;"",I134,0)+IF(K134&lt;&gt;"",K134,0),""))</f>
        <v/>
      </c>
      <c r="N134" s="18">
        <f>IF(OR(L134="",M134=""),"",IF(L134&gt;M134,D134,IF(M134&gt;L134,E134,"Draw")))</f>
        <v/>
      </c>
      <c r="O134" s="18">
        <f>IF(AND(D134="",E134=""),"",IF(AND(L134&lt;&gt;"",M134&lt;&gt;""),"Completed","Scheduled"))</f>
        <v/>
      </c>
    </row>
    <row r="135">
      <c r="A135" s="15" t="n"/>
      <c r="B135" s="16" t="n"/>
      <c r="C135" s="16" t="n"/>
      <c r="D135" s="17" t="n"/>
      <c r="E135" s="17" t="n"/>
      <c r="F135" s="16" t="n"/>
      <c r="G135" s="16" t="n"/>
      <c r="H135" s="16" t="n"/>
      <c r="I135" s="16" t="n"/>
      <c r="J135" s="16" t="n"/>
      <c r="K135" s="16" t="n"/>
      <c r="L135" s="18">
        <f>IF(AND(D135="",E135=""),"",IFERROR(IF(F135&lt;&gt;"",F135,0)+IF(H135&lt;&gt;"",H135,0)+IF(J135&lt;&gt;"",J135,0),""))</f>
        <v/>
      </c>
      <c r="M135" s="18">
        <f>IF(AND(D135="",E135=""),"",IFERROR(IF(G135&lt;&gt;"",G135,0)+IF(I135&lt;&gt;"",I135,0)+IF(K135&lt;&gt;"",K135,0),""))</f>
        <v/>
      </c>
      <c r="N135" s="18">
        <f>IF(OR(L135="",M135=""),"",IF(L135&gt;M135,D135,IF(M135&gt;L135,E135,"Draw")))</f>
        <v/>
      </c>
      <c r="O135" s="18">
        <f>IF(AND(D135="",E135=""),"",IF(AND(L135&lt;&gt;"",M135&lt;&gt;""),"Completed","Scheduled"))</f>
        <v/>
      </c>
    </row>
    <row r="136">
      <c r="A136" s="15" t="n"/>
      <c r="B136" s="16" t="n"/>
      <c r="C136" s="16" t="n"/>
      <c r="D136" s="17" t="n"/>
      <c r="E136" s="17" t="n"/>
      <c r="F136" s="16" t="n"/>
      <c r="G136" s="16" t="n"/>
      <c r="H136" s="16" t="n"/>
      <c r="I136" s="16" t="n"/>
      <c r="J136" s="16" t="n"/>
      <c r="K136" s="16" t="n"/>
      <c r="L136" s="18">
        <f>IF(AND(D136="",E136=""),"",IFERROR(IF(F136&lt;&gt;"",F136,0)+IF(H136&lt;&gt;"",H136,0)+IF(J136&lt;&gt;"",J136,0),""))</f>
        <v/>
      </c>
      <c r="M136" s="18">
        <f>IF(AND(D136="",E136=""),"",IFERROR(IF(G136&lt;&gt;"",G136,0)+IF(I136&lt;&gt;"",I136,0)+IF(K136&lt;&gt;"",K136,0),""))</f>
        <v/>
      </c>
      <c r="N136" s="18">
        <f>IF(OR(L136="",M136=""),"",IF(L136&gt;M136,D136,IF(M136&gt;L136,E136,"Draw")))</f>
        <v/>
      </c>
      <c r="O136" s="18">
        <f>IF(AND(D136="",E136=""),"",IF(AND(L136&lt;&gt;"",M136&lt;&gt;""),"Completed","Scheduled"))</f>
        <v/>
      </c>
    </row>
    <row r="137">
      <c r="A137" s="15" t="n"/>
      <c r="B137" s="16" t="n"/>
      <c r="C137" s="16" t="n"/>
      <c r="D137" s="17" t="n"/>
      <c r="E137" s="17" t="n"/>
      <c r="F137" s="16" t="n"/>
      <c r="G137" s="16" t="n"/>
      <c r="H137" s="16" t="n"/>
      <c r="I137" s="16" t="n"/>
      <c r="J137" s="16" t="n"/>
      <c r="K137" s="16" t="n"/>
      <c r="L137" s="18">
        <f>IF(AND(D137="",E137=""),"",IFERROR(IF(F137&lt;&gt;"",F137,0)+IF(H137&lt;&gt;"",H137,0)+IF(J137&lt;&gt;"",J137,0),""))</f>
        <v/>
      </c>
      <c r="M137" s="18">
        <f>IF(AND(D137="",E137=""),"",IFERROR(IF(G137&lt;&gt;"",G137,0)+IF(I137&lt;&gt;"",I137,0)+IF(K137&lt;&gt;"",K137,0),""))</f>
        <v/>
      </c>
      <c r="N137" s="18">
        <f>IF(OR(L137="",M137=""),"",IF(L137&gt;M137,D137,IF(M137&gt;L137,E137,"Draw")))</f>
        <v/>
      </c>
      <c r="O137" s="18">
        <f>IF(AND(D137="",E137=""),"",IF(AND(L137&lt;&gt;"",M137&lt;&gt;""),"Completed","Scheduled"))</f>
        <v/>
      </c>
    </row>
    <row r="138">
      <c r="A138" s="15" t="n"/>
      <c r="B138" s="16" t="n"/>
      <c r="C138" s="16" t="n"/>
      <c r="D138" s="17" t="n"/>
      <c r="E138" s="17" t="n"/>
      <c r="F138" s="16" t="n"/>
      <c r="G138" s="16" t="n"/>
      <c r="H138" s="16" t="n"/>
      <c r="I138" s="16" t="n"/>
      <c r="J138" s="16" t="n"/>
      <c r="K138" s="16" t="n"/>
      <c r="L138" s="18">
        <f>IF(AND(D138="",E138=""),"",IFERROR(IF(F138&lt;&gt;"",F138,0)+IF(H138&lt;&gt;"",H138,0)+IF(J138&lt;&gt;"",J138,0),""))</f>
        <v/>
      </c>
      <c r="M138" s="18">
        <f>IF(AND(D138="",E138=""),"",IFERROR(IF(G138&lt;&gt;"",G138,0)+IF(I138&lt;&gt;"",I138,0)+IF(K138&lt;&gt;"",K138,0),""))</f>
        <v/>
      </c>
      <c r="N138" s="18">
        <f>IF(OR(L138="",M138=""),"",IF(L138&gt;M138,D138,IF(M138&gt;L138,E138,"Draw")))</f>
        <v/>
      </c>
      <c r="O138" s="18">
        <f>IF(AND(D138="",E138=""),"",IF(AND(L138&lt;&gt;"",M138&lt;&gt;""),"Completed","Scheduled"))</f>
        <v/>
      </c>
    </row>
    <row r="139">
      <c r="A139" s="15" t="n"/>
      <c r="B139" s="16" t="n"/>
      <c r="C139" s="16" t="n"/>
      <c r="D139" s="17" t="n"/>
      <c r="E139" s="17" t="n"/>
      <c r="F139" s="16" t="n"/>
      <c r="G139" s="16" t="n"/>
      <c r="H139" s="16" t="n"/>
      <c r="I139" s="16" t="n"/>
      <c r="J139" s="16" t="n"/>
      <c r="K139" s="16" t="n"/>
      <c r="L139" s="18">
        <f>IF(AND(D139="",E139=""),"",IFERROR(IF(F139&lt;&gt;"",F139,0)+IF(H139&lt;&gt;"",H139,0)+IF(J139&lt;&gt;"",J139,0),""))</f>
        <v/>
      </c>
      <c r="M139" s="18">
        <f>IF(AND(D139="",E139=""),"",IFERROR(IF(G139&lt;&gt;"",G139,0)+IF(I139&lt;&gt;"",I139,0)+IF(K139&lt;&gt;"",K139,0),""))</f>
        <v/>
      </c>
      <c r="N139" s="18">
        <f>IF(OR(L139="",M139=""),"",IF(L139&gt;M139,D139,IF(M139&gt;L139,E139,"Draw")))</f>
        <v/>
      </c>
      <c r="O139" s="18">
        <f>IF(AND(D139="",E139=""),"",IF(AND(L139&lt;&gt;"",M139&lt;&gt;""),"Completed","Scheduled"))</f>
        <v/>
      </c>
    </row>
    <row r="140">
      <c r="A140" s="15" t="n"/>
      <c r="B140" s="16" t="n"/>
      <c r="C140" s="16" t="n"/>
      <c r="D140" s="17" t="n"/>
      <c r="E140" s="17" t="n"/>
      <c r="F140" s="16" t="n"/>
      <c r="G140" s="16" t="n"/>
      <c r="H140" s="16" t="n"/>
      <c r="I140" s="16" t="n"/>
      <c r="J140" s="16" t="n"/>
      <c r="K140" s="16" t="n"/>
      <c r="L140" s="18">
        <f>IF(AND(D140="",E140=""),"",IFERROR(IF(F140&lt;&gt;"",F140,0)+IF(H140&lt;&gt;"",H140,0)+IF(J140&lt;&gt;"",J140,0),""))</f>
        <v/>
      </c>
      <c r="M140" s="18">
        <f>IF(AND(D140="",E140=""),"",IFERROR(IF(G140&lt;&gt;"",G140,0)+IF(I140&lt;&gt;"",I140,0)+IF(K140&lt;&gt;"",K140,0),""))</f>
        <v/>
      </c>
      <c r="N140" s="18">
        <f>IF(OR(L140="",M140=""),"",IF(L140&gt;M140,D140,IF(M140&gt;L140,E140,"Draw")))</f>
        <v/>
      </c>
      <c r="O140" s="18">
        <f>IF(AND(D140="",E140=""),"",IF(AND(L140&lt;&gt;"",M140&lt;&gt;""),"Completed","Scheduled"))</f>
        <v/>
      </c>
    </row>
    <row r="141">
      <c r="A141" s="15" t="n"/>
      <c r="B141" s="16" t="n"/>
      <c r="C141" s="16" t="n"/>
      <c r="D141" s="17" t="n"/>
      <c r="E141" s="17" t="n"/>
      <c r="F141" s="16" t="n"/>
      <c r="G141" s="16" t="n"/>
      <c r="H141" s="16" t="n"/>
      <c r="I141" s="16" t="n"/>
      <c r="J141" s="16" t="n"/>
      <c r="K141" s="16" t="n"/>
      <c r="L141" s="18">
        <f>IF(AND(D141="",E141=""),"",IFERROR(IF(F141&lt;&gt;"",F141,0)+IF(H141&lt;&gt;"",H141,0)+IF(J141&lt;&gt;"",J141,0),""))</f>
        <v/>
      </c>
      <c r="M141" s="18">
        <f>IF(AND(D141="",E141=""),"",IFERROR(IF(G141&lt;&gt;"",G141,0)+IF(I141&lt;&gt;"",I141,0)+IF(K141&lt;&gt;"",K141,0),""))</f>
        <v/>
      </c>
      <c r="N141" s="18">
        <f>IF(OR(L141="",M141=""),"",IF(L141&gt;M141,D141,IF(M141&gt;L141,E141,"Draw")))</f>
        <v/>
      </c>
      <c r="O141" s="18">
        <f>IF(AND(D141="",E141=""),"",IF(AND(L141&lt;&gt;"",M141&lt;&gt;""),"Completed","Scheduled"))</f>
        <v/>
      </c>
    </row>
    <row r="142">
      <c r="A142" s="15" t="n"/>
      <c r="B142" s="16" t="n"/>
      <c r="C142" s="16" t="n"/>
      <c r="D142" s="17" t="n"/>
      <c r="E142" s="17" t="n"/>
      <c r="F142" s="16" t="n"/>
      <c r="G142" s="16" t="n"/>
      <c r="H142" s="16" t="n"/>
      <c r="I142" s="16" t="n"/>
      <c r="J142" s="16" t="n"/>
      <c r="K142" s="16" t="n"/>
      <c r="L142" s="18">
        <f>IF(AND(D142="",E142=""),"",IFERROR(IF(F142&lt;&gt;"",F142,0)+IF(H142&lt;&gt;"",H142,0)+IF(J142&lt;&gt;"",J142,0),""))</f>
        <v/>
      </c>
      <c r="M142" s="18">
        <f>IF(AND(D142="",E142=""),"",IFERROR(IF(G142&lt;&gt;"",G142,0)+IF(I142&lt;&gt;"",I142,0)+IF(K142&lt;&gt;"",K142,0),""))</f>
        <v/>
      </c>
      <c r="N142" s="18">
        <f>IF(OR(L142="",M142=""),"",IF(L142&gt;M142,D142,IF(M142&gt;L142,E142,"Draw")))</f>
        <v/>
      </c>
      <c r="O142" s="18">
        <f>IF(AND(D142="",E142=""),"",IF(AND(L142&lt;&gt;"",M142&lt;&gt;""),"Completed","Scheduled"))</f>
        <v/>
      </c>
    </row>
    <row r="143">
      <c r="A143" s="15" t="n"/>
      <c r="B143" s="16" t="n"/>
      <c r="C143" s="16" t="n"/>
      <c r="D143" s="17" t="n"/>
      <c r="E143" s="17" t="n"/>
      <c r="F143" s="16" t="n"/>
      <c r="G143" s="16" t="n"/>
      <c r="H143" s="16" t="n"/>
      <c r="I143" s="16" t="n"/>
      <c r="J143" s="16" t="n"/>
      <c r="K143" s="16" t="n"/>
      <c r="L143" s="18">
        <f>IF(AND(D143="",E143=""),"",IFERROR(IF(F143&lt;&gt;"",F143,0)+IF(H143&lt;&gt;"",H143,0)+IF(J143&lt;&gt;"",J143,0),""))</f>
        <v/>
      </c>
      <c r="M143" s="18">
        <f>IF(AND(D143="",E143=""),"",IFERROR(IF(G143&lt;&gt;"",G143,0)+IF(I143&lt;&gt;"",I143,0)+IF(K143&lt;&gt;"",K143,0),""))</f>
        <v/>
      </c>
      <c r="N143" s="18">
        <f>IF(OR(L143="",M143=""),"",IF(L143&gt;M143,D143,IF(M143&gt;L143,E143,"Draw")))</f>
        <v/>
      </c>
      <c r="O143" s="18">
        <f>IF(AND(D143="",E143=""),"",IF(AND(L143&lt;&gt;"",M143&lt;&gt;""),"Completed","Scheduled"))</f>
        <v/>
      </c>
    </row>
    <row r="144">
      <c r="A144" s="15" t="n"/>
      <c r="B144" s="16" t="n"/>
      <c r="C144" s="16" t="n"/>
      <c r="D144" s="17" t="n"/>
      <c r="E144" s="17" t="n"/>
      <c r="F144" s="16" t="n"/>
      <c r="G144" s="16" t="n"/>
      <c r="H144" s="16" t="n"/>
      <c r="I144" s="16" t="n"/>
      <c r="J144" s="16" t="n"/>
      <c r="K144" s="16" t="n"/>
      <c r="L144" s="18">
        <f>IF(AND(D144="",E144=""),"",IFERROR(IF(F144&lt;&gt;"",F144,0)+IF(H144&lt;&gt;"",H144,0)+IF(J144&lt;&gt;"",J144,0),""))</f>
        <v/>
      </c>
      <c r="M144" s="18">
        <f>IF(AND(D144="",E144=""),"",IFERROR(IF(G144&lt;&gt;"",G144,0)+IF(I144&lt;&gt;"",I144,0)+IF(K144&lt;&gt;"",K144,0),""))</f>
        <v/>
      </c>
      <c r="N144" s="18">
        <f>IF(OR(L144="",M144=""),"",IF(L144&gt;M144,D144,IF(M144&gt;L144,E144,"Draw")))</f>
        <v/>
      </c>
      <c r="O144" s="18">
        <f>IF(AND(D144="",E144=""),"",IF(AND(L144&lt;&gt;"",M144&lt;&gt;""),"Completed","Scheduled"))</f>
        <v/>
      </c>
    </row>
    <row r="145">
      <c r="A145" s="15" t="n"/>
      <c r="B145" s="16" t="n"/>
      <c r="C145" s="16" t="n"/>
      <c r="D145" s="17" t="n"/>
      <c r="E145" s="17" t="n"/>
      <c r="F145" s="16" t="n"/>
      <c r="G145" s="16" t="n"/>
      <c r="H145" s="16" t="n"/>
      <c r="I145" s="16" t="n"/>
      <c r="J145" s="16" t="n"/>
      <c r="K145" s="16" t="n"/>
      <c r="L145" s="18">
        <f>IF(AND(D145="",E145=""),"",IFERROR(IF(F145&lt;&gt;"",F145,0)+IF(H145&lt;&gt;"",H145,0)+IF(J145&lt;&gt;"",J145,0),""))</f>
        <v/>
      </c>
      <c r="M145" s="18">
        <f>IF(AND(D145="",E145=""),"",IFERROR(IF(G145&lt;&gt;"",G145,0)+IF(I145&lt;&gt;"",I145,0)+IF(K145&lt;&gt;"",K145,0),""))</f>
        <v/>
      </c>
      <c r="N145" s="18">
        <f>IF(OR(L145="",M145=""),"",IF(L145&gt;M145,D145,IF(M145&gt;L145,E145,"Draw")))</f>
        <v/>
      </c>
      <c r="O145" s="18">
        <f>IF(AND(D145="",E145=""),"",IF(AND(L145&lt;&gt;"",M145&lt;&gt;""),"Completed","Scheduled"))</f>
        <v/>
      </c>
    </row>
    <row r="146">
      <c r="A146" s="15" t="n"/>
      <c r="B146" s="16" t="n"/>
      <c r="C146" s="16" t="n"/>
      <c r="D146" s="17" t="n"/>
      <c r="E146" s="17" t="n"/>
      <c r="F146" s="16" t="n"/>
      <c r="G146" s="16" t="n"/>
      <c r="H146" s="16" t="n"/>
      <c r="I146" s="16" t="n"/>
      <c r="J146" s="16" t="n"/>
      <c r="K146" s="16" t="n"/>
      <c r="L146" s="18">
        <f>IF(AND(D146="",E146=""),"",IFERROR(IF(F146&lt;&gt;"",F146,0)+IF(H146&lt;&gt;"",H146,0)+IF(J146&lt;&gt;"",J146,0),""))</f>
        <v/>
      </c>
      <c r="M146" s="18">
        <f>IF(AND(D146="",E146=""),"",IFERROR(IF(G146&lt;&gt;"",G146,0)+IF(I146&lt;&gt;"",I146,0)+IF(K146&lt;&gt;"",K146,0),""))</f>
        <v/>
      </c>
      <c r="N146" s="18">
        <f>IF(OR(L146="",M146=""),"",IF(L146&gt;M146,D146,IF(M146&gt;L146,E146,"Draw")))</f>
        <v/>
      </c>
      <c r="O146" s="18">
        <f>IF(AND(D146="",E146=""),"",IF(AND(L146&lt;&gt;"",M146&lt;&gt;""),"Completed","Scheduled"))</f>
        <v/>
      </c>
    </row>
    <row r="147">
      <c r="A147" s="15" t="n"/>
      <c r="B147" s="16" t="n"/>
      <c r="C147" s="16" t="n"/>
      <c r="D147" s="17" t="n"/>
      <c r="E147" s="17" t="n"/>
      <c r="F147" s="16" t="n"/>
      <c r="G147" s="16" t="n"/>
      <c r="H147" s="16" t="n"/>
      <c r="I147" s="16" t="n"/>
      <c r="J147" s="16" t="n"/>
      <c r="K147" s="16" t="n"/>
      <c r="L147" s="18">
        <f>IF(AND(D147="",E147=""),"",IFERROR(IF(F147&lt;&gt;"",F147,0)+IF(H147&lt;&gt;"",H147,0)+IF(J147&lt;&gt;"",J147,0),""))</f>
        <v/>
      </c>
      <c r="M147" s="18">
        <f>IF(AND(D147="",E147=""),"",IFERROR(IF(G147&lt;&gt;"",G147,0)+IF(I147&lt;&gt;"",I147,0)+IF(K147&lt;&gt;"",K147,0),""))</f>
        <v/>
      </c>
      <c r="N147" s="18">
        <f>IF(OR(L147="",M147=""),"",IF(L147&gt;M147,D147,IF(M147&gt;L147,E147,"Draw")))</f>
        <v/>
      </c>
      <c r="O147" s="18">
        <f>IF(AND(D147="",E147=""),"",IF(AND(L147&lt;&gt;"",M147&lt;&gt;""),"Completed","Scheduled"))</f>
        <v/>
      </c>
    </row>
    <row r="148">
      <c r="A148" s="15" t="n"/>
      <c r="B148" s="16" t="n"/>
      <c r="C148" s="16" t="n"/>
      <c r="D148" s="17" t="n"/>
      <c r="E148" s="17" t="n"/>
      <c r="F148" s="16" t="n"/>
      <c r="G148" s="16" t="n"/>
      <c r="H148" s="16" t="n"/>
      <c r="I148" s="16" t="n"/>
      <c r="J148" s="16" t="n"/>
      <c r="K148" s="16" t="n"/>
      <c r="L148" s="18">
        <f>IF(AND(D148="",E148=""),"",IFERROR(IF(F148&lt;&gt;"",F148,0)+IF(H148&lt;&gt;"",H148,0)+IF(J148&lt;&gt;"",J148,0),""))</f>
        <v/>
      </c>
      <c r="M148" s="18">
        <f>IF(AND(D148="",E148=""),"",IFERROR(IF(G148&lt;&gt;"",G148,0)+IF(I148&lt;&gt;"",I148,0)+IF(K148&lt;&gt;"",K148,0),""))</f>
        <v/>
      </c>
      <c r="N148" s="18">
        <f>IF(OR(L148="",M148=""),"",IF(L148&gt;M148,D148,IF(M148&gt;L148,E148,"Draw")))</f>
        <v/>
      </c>
      <c r="O148" s="18">
        <f>IF(AND(D148="",E148=""),"",IF(AND(L148&lt;&gt;"",M148&lt;&gt;""),"Completed","Scheduled"))</f>
        <v/>
      </c>
    </row>
    <row r="149">
      <c r="A149" s="15" t="n"/>
      <c r="B149" s="16" t="n"/>
      <c r="C149" s="16" t="n"/>
      <c r="D149" s="17" t="n"/>
      <c r="E149" s="17" t="n"/>
      <c r="F149" s="16" t="n"/>
      <c r="G149" s="16" t="n"/>
      <c r="H149" s="16" t="n"/>
      <c r="I149" s="16" t="n"/>
      <c r="J149" s="16" t="n"/>
      <c r="K149" s="16" t="n"/>
      <c r="L149" s="18">
        <f>IF(AND(D149="",E149=""),"",IFERROR(IF(F149&lt;&gt;"",F149,0)+IF(H149&lt;&gt;"",H149,0)+IF(J149&lt;&gt;"",J149,0),""))</f>
        <v/>
      </c>
      <c r="M149" s="18">
        <f>IF(AND(D149="",E149=""),"",IFERROR(IF(G149&lt;&gt;"",G149,0)+IF(I149&lt;&gt;"",I149,0)+IF(K149&lt;&gt;"",K149,0),""))</f>
        <v/>
      </c>
      <c r="N149" s="18">
        <f>IF(OR(L149="",M149=""),"",IF(L149&gt;M149,D149,IF(M149&gt;L149,E149,"Draw")))</f>
        <v/>
      </c>
      <c r="O149" s="18">
        <f>IF(AND(D149="",E149=""),"",IF(AND(L149&lt;&gt;"",M149&lt;&gt;""),"Completed","Scheduled"))</f>
        <v/>
      </c>
    </row>
    <row r="150">
      <c r="A150" s="15" t="n"/>
      <c r="B150" s="16" t="n"/>
      <c r="C150" s="16" t="n"/>
      <c r="D150" s="17" t="n"/>
      <c r="E150" s="17" t="n"/>
      <c r="F150" s="16" t="n"/>
      <c r="G150" s="16" t="n"/>
      <c r="H150" s="16" t="n"/>
      <c r="I150" s="16" t="n"/>
      <c r="J150" s="16" t="n"/>
      <c r="K150" s="16" t="n"/>
      <c r="L150" s="18">
        <f>IF(AND(D150="",E150=""),"",IFERROR(IF(F150&lt;&gt;"",F150,0)+IF(H150&lt;&gt;"",H150,0)+IF(J150&lt;&gt;"",J150,0),""))</f>
        <v/>
      </c>
      <c r="M150" s="18">
        <f>IF(AND(D150="",E150=""),"",IFERROR(IF(G150&lt;&gt;"",G150,0)+IF(I150&lt;&gt;"",I150,0)+IF(K150&lt;&gt;"",K150,0),""))</f>
        <v/>
      </c>
      <c r="N150" s="18">
        <f>IF(OR(L150="",M150=""),"",IF(L150&gt;M150,D150,IF(M150&gt;L150,E150,"Draw")))</f>
        <v/>
      </c>
      <c r="O150" s="18">
        <f>IF(AND(D150="",E150=""),"",IF(AND(L150&lt;&gt;"",M150&lt;&gt;""),"Completed","Scheduled"))</f>
        <v/>
      </c>
    </row>
    <row r="151">
      <c r="A151" s="15" t="n"/>
      <c r="B151" s="16" t="n"/>
      <c r="C151" s="16" t="n"/>
      <c r="D151" s="17" t="n"/>
      <c r="E151" s="17" t="n"/>
      <c r="F151" s="16" t="n"/>
      <c r="G151" s="16" t="n"/>
      <c r="H151" s="16" t="n"/>
      <c r="I151" s="16" t="n"/>
      <c r="J151" s="16" t="n"/>
      <c r="K151" s="16" t="n"/>
      <c r="L151" s="18">
        <f>IF(AND(D151="",E151=""),"",IFERROR(IF(F151&lt;&gt;"",F151,0)+IF(H151&lt;&gt;"",H151,0)+IF(J151&lt;&gt;"",J151,0),""))</f>
        <v/>
      </c>
      <c r="M151" s="18">
        <f>IF(AND(D151="",E151=""),"",IFERROR(IF(G151&lt;&gt;"",G151,0)+IF(I151&lt;&gt;"",I151,0)+IF(K151&lt;&gt;"",K151,0),""))</f>
        <v/>
      </c>
      <c r="N151" s="18">
        <f>IF(OR(L151="",M151=""),"",IF(L151&gt;M151,D151,IF(M151&gt;L151,E151,"Draw")))</f>
        <v/>
      </c>
      <c r="O151" s="18">
        <f>IF(AND(D151="",E151=""),"",IF(AND(L151&lt;&gt;"",M151&lt;&gt;""),"Completed","Scheduled"))</f>
        <v/>
      </c>
    </row>
    <row r="152">
      <c r="A152" s="15" t="n"/>
      <c r="B152" s="16" t="n"/>
      <c r="C152" s="16" t="n"/>
      <c r="D152" s="17" t="n"/>
      <c r="E152" s="17" t="n"/>
      <c r="F152" s="16" t="n"/>
      <c r="G152" s="16" t="n"/>
      <c r="H152" s="16" t="n"/>
      <c r="I152" s="16" t="n"/>
      <c r="J152" s="16" t="n"/>
      <c r="K152" s="16" t="n"/>
      <c r="L152" s="18">
        <f>IF(AND(D152="",E152=""),"",IFERROR(IF(F152&lt;&gt;"",F152,0)+IF(H152&lt;&gt;"",H152,0)+IF(J152&lt;&gt;"",J152,0),""))</f>
        <v/>
      </c>
      <c r="M152" s="18">
        <f>IF(AND(D152="",E152=""),"",IFERROR(IF(G152&lt;&gt;"",G152,0)+IF(I152&lt;&gt;"",I152,0)+IF(K152&lt;&gt;"",K152,0),""))</f>
        <v/>
      </c>
      <c r="N152" s="18">
        <f>IF(OR(L152="",M152=""),"",IF(L152&gt;M152,D152,IF(M152&gt;L152,E152,"Draw")))</f>
        <v/>
      </c>
      <c r="O152" s="18">
        <f>IF(AND(D152="",E152=""),"",IF(AND(L152&lt;&gt;"",M152&lt;&gt;""),"Completed","Scheduled"))</f>
        <v/>
      </c>
    </row>
    <row r="153">
      <c r="A153" s="15" t="n"/>
      <c r="B153" s="16" t="n"/>
      <c r="C153" s="16" t="n"/>
      <c r="D153" s="17" t="n"/>
      <c r="E153" s="17" t="n"/>
      <c r="F153" s="16" t="n"/>
      <c r="G153" s="16" t="n"/>
      <c r="H153" s="16" t="n"/>
      <c r="I153" s="16" t="n"/>
      <c r="J153" s="16" t="n"/>
      <c r="K153" s="16" t="n"/>
      <c r="L153" s="18">
        <f>IF(AND(D153="",E153=""),"",IFERROR(IF(F153&lt;&gt;"",F153,0)+IF(H153&lt;&gt;"",H153,0)+IF(J153&lt;&gt;"",J153,0),""))</f>
        <v/>
      </c>
      <c r="M153" s="18">
        <f>IF(AND(D153="",E153=""),"",IFERROR(IF(G153&lt;&gt;"",G153,0)+IF(I153&lt;&gt;"",I153,0)+IF(K153&lt;&gt;"",K153,0),""))</f>
        <v/>
      </c>
      <c r="N153" s="18">
        <f>IF(OR(L153="",M153=""),"",IF(L153&gt;M153,D153,IF(M153&gt;L153,E153,"Draw")))</f>
        <v/>
      </c>
      <c r="O153" s="18">
        <f>IF(AND(D153="",E153=""),"",IF(AND(L153&lt;&gt;"",M153&lt;&gt;""),"Completed","Scheduled"))</f>
        <v/>
      </c>
    </row>
    <row r="154">
      <c r="A154" s="15" t="n"/>
      <c r="B154" s="16" t="n"/>
      <c r="C154" s="16" t="n"/>
      <c r="D154" s="17" t="n"/>
      <c r="E154" s="17" t="n"/>
      <c r="F154" s="16" t="n"/>
      <c r="G154" s="16" t="n"/>
      <c r="H154" s="16" t="n"/>
      <c r="I154" s="16" t="n"/>
      <c r="J154" s="16" t="n"/>
      <c r="K154" s="16" t="n"/>
      <c r="L154" s="18">
        <f>IF(AND(D154="",E154=""),"",IFERROR(IF(F154&lt;&gt;"",F154,0)+IF(H154&lt;&gt;"",H154,0)+IF(J154&lt;&gt;"",J154,0),""))</f>
        <v/>
      </c>
      <c r="M154" s="18">
        <f>IF(AND(D154="",E154=""),"",IFERROR(IF(G154&lt;&gt;"",G154,0)+IF(I154&lt;&gt;"",I154,0)+IF(K154&lt;&gt;"",K154,0),""))</f>
        <v/>
      </c>
      <c r="N154" s="18">
        <f>IF(OR(L154="",M154=""),"",IF(L154&gt;M154,D154,IF(M154&gt;L154,E154,"Draw")))</f>
        <v/>
      </c>
      <c r="O154" s="18">
        <f>IF(AND(D154="",E154=""),"",IF(AND(L154&lt;&gt;"",M154&lt;&gt;""),"Completed","Scheduled"))</f>
        <v/>
      </c>
    </row>
    <row r="155">
      <c r="A155" s="15" t="n"/>
      <c r="B155" s="16" t="n"/>
      <c r="C155" s="16" t="n"/>
      <c r="D155" s="17" t="n"/>
      <c r="E155" s="17" t="n"/>
      <c r="F155" s="16" t="n"/>
      <c r="G155" s="16" t="n"/>
      <c r="H155" s="16" t="n"/>
      <c r="I155" s="16" t="n"/>
      <c r="J155" s="16" t="n"/>
      <c r="K155" s="16" t="n"/>
      <c r="L155" s="18">
        <f>IF(AND(D155="",E155=""),"",IFERROR(IF(F155&lt;&gt;"",F155,0)+IF(H155&lt;&gt;"",H155,0)+IF(J155&lt;&gt;"",J155,0),""))</f>
        <v/>
      </c>
      <c r="M155" s="18">
        <f>IF(AND(D155="",E155=""),"",IFERROR(IF(G155&lt;&gt;"",G155,0)+IF(I155&lt;&gt;"",I155,0)+IF(K155&lt;&gt;"",K155,0),""))</f>
        <v/>
      </c>
      <c r="N155" s="18">
        <f>IF(OR(L155="",M155=""),"",IF(L155&gt;M155,D155,IF(M155&gt;L155,E155,"Draw")))</f>
        <v/>
      </c>
      <c r="O155" s="18">
        <f>IF(AND(D155="",E155=""),"",IF(AND(L155&lt;&gt;"",M155&lt;&gt;""),"Completed","Scheduled"))</f>
        <v/>
      </c>
    </row>
    <row r="156">
      <c r="A156" s="15" t="n"/>
      <c r="B156" s="16" t="n"/>
      <c r="C156" s="16" t="n"/>
      <c r="D156" s="17" t="n"/>
      <c r="E156" s="17" t="n"/>
      <c r="F156" s="16" t="n"/>
      <c r="G156" s="16" t="n"/>
      <c r="H156" s="16" t="n"/>
      <c r="I156" s="16" t="n"/>
      <c r="J156" s="16" t="n"/>
      <c r="K156" s="16" t="n"/>
      <c r="L156" s="18">
        <f>IF(AND(D156="",E156=""),"",IFERROR(IF(F156&lt;&gt;"",F156,0)+IF(H156&lt;&gt;"",H156,0)+IF(J156&lt;&gt;"",J156,0),""))</f>
        <v/>
      </c>
      <c r="M156" s="18">
        <f>IF(AND(D156="",E156=""),"",IFERROR(IF(G156&lt;&gt;"",G156,0)+IF(I156&lt;&gt;"",I156,0)+IF(K156&lt;&gt;"",K156,0),""))</f>
        <v/>
      </c>
      <c r="N156" s="18">
        <f>IF(OR(L156="",M156=""),"",IF(L156&gt;M156,D156,IF(M156&gt;L156,E156,"Draw")))</f>
        <v/>
      </c>
      <c r="O156" s="18">
        <f>IF(AND(D156="",E156=""),"",IF(AND(L156&lt;&gt;"",M156&lt;&gt;""),"Completed","Scheduled"))</f>
        <v/>
      </c>
    </row>
    <row r="157">
      <c r="A157" s="15" t="n"/>
      <c r="B157" s="16" t="n"/>
      <c r="C157" s="16" t="n"/>
      <c r="D157" s="17" t="n"/>
      <c r="E157" s="17" t="n"/>
      <c r="F157" s="16" t="n"/>
      <c r="G157" s="16" t="n"/>
      <c r="H157" s="16" t="n"/>
      <c r="I157" s="16" t="n"/>
      <c r="J157" s="16" t="n"/>
      <c r="K157" s="16" t="n"/>
      <c r="L157" s="18">
        <f>IF(AND(D157="",E157=""),"",IFERROR(IF(F157&lt;&gt;"",F157,0)+IF(H157&lt;&gt;"",H157,0)+IF(J157&lt;&gt;"",J157,0),""))</f>
        <v/>
      </c>
      <c r="M157" s="18">
        <f>IF(AND(D157="",E157=""),"",IFERROR(IF(G157&lt;&gt;"",G157,0)+IF(I157&lt;&gt;"",I157,0)+IF(K157&lt;&gt;"",K157,0),""))</f>
        <v/>
      </c>
      <c r="N157" s="18">
        <f>IF(OR(L157="",M157=""),"",IF(L157&gt;M157,D157,IF(M157&gt;L157,E157,"Draw")))</f>
        <v/>
      </c>
      <c r="O157" s="18">
        <f>IF(AND(D157="",E157=""),"",IF(AND(L157&lt;&gt;"",M157&lt;&gt;""),"Completed","Scheduled"))</f>
        <v/>
      </c>
    </row>
    <row r="158">
      <c r="A158" s="15" t="n"/>
      <c r="B158" s="16" t="n"/>
      <c r="C158" s="16" t="n"/>
      <c r="D158" s="17" t="n"/>
      <c r="E158" s="17" t="n"/>
      <c r="F158" s="16" t="n"/>
      <c r="G158" s="16" t="n"/>
      <c r="H158" s="16" t="n"/>
      <c r="I158" s="16" t="n"/>
      <c r="J158" s="16" t="n"/>
      <c r="K158" s="16" t="n"/>
      <c r="L158" s="18">
        <f>IF(AND(D158="",E158=""),"",IFERROR(IF(F158&lt;&gt;"",F158,0)+IF(H158&lt;&gt;"",H158,0)+IF(J158&lt;&gt;"",J158,0),""))</f>
        <v/>
      </c>
      <c r="M158" s="18">
        <f>IF(AND(D158="",E158=""),"",IFERROR(IF(G158&lt;&gt;"",G158,0)+IF(I158&lt;&gt;"",I158,0)+IF(K158&lt;&gt;"",K158,0),""))</f>
        <v/>
      </c>
      <c r="N158" s="18">
        <f>IF(OR(L158="",M158=""),"",IF(L158&gt;M158,D158,IF(M158&gt;L158,E158,"Draw")))</f>
        <v/>
      </c>
      <c r="O158" s="18">
        <f>IF(AND(D158="",E158=""),"",IF(AND(L158&lt;&gt;"",M158&lt;&gt;""),"Completed","Scheduled"))</f>
        <v/>
      </c>
    </row>
    <row r="159">
      <c r="A159" s="15" t="n"/>
      <c r="B159" s="16" t="n"/>
      <c r="C159" s="16" t="n"/>
      <c r="D159" s="17" t="n"/>
      <c r="E159" s="17" t="n"/>
      <c r="F159" s="16" t="n"/>
      <c r="G159" s="16" t="n"/>
      <c r="H159" s="16" t="n"/>
      <c r="I159" s="16" t="n"/>
      <c r="J159" s="16" t="n"/>
      <c r="K159" s="16" t="n"/>
      <c r="L159" s="18">
        <f>IF(AND(D159="",E159=""),"",IFERROR(IF(F159&lt;&gt;"",F159,0)+IF(H159&lt;&gt;"",H159,0)+IF(J159&lt;&gt;"",J159,0),""))</f>
        <v/>
      </c>
      <c r="M159" s="18">
        <f>IF(AND(D159="",E159=""),"",IFERROR(IF(G159&lt;&gt;"",G159,0)+IF(I159&lt;&gt;"",I159,0)+IF(K159&lt;&gt;"",K159,0),""))</f>
        <v/>
      </c>
      <c r="N159" s="18">
        <f>IF(OR(L159="",M159=""),"",IF(L159&gt;M159,D159,IF(M159&gt;L159,E159,"Draw")))</f>
        <v/>
      </c>
      <c r="O159" s="18">
        <f>IF(AND(D159="",E159=""),"",IF(AND(L159&lt;&gt;"",M159&lt;&gt;""),"Completed","Scheduled"))</f>
        <v/>
      </c>
    </row>
    <row r="160">
      <c r="A160" s="15" t="n"/>
      <c r="B160" s="16" t="n"/>
      <c r="C160" s="16" t="n"/>
      <c r="D160" s="17" t="n"/>
      <c r="E160" s="17" t="n"/>
      <c r="F160" s="16" t="n"/>
      <c r="G160" s="16" t="n"/>
      <c r="H160" s="16" t="n"/>
      <c r="I160" s="16" t="n"/>
      <c r="J160" s="16" t="n"/>
      <c r="K160" s="16" t="n"/>
      <c r="L160" s="18">
        <f>IF(AND(D160="",E160=""),"",IFERROR(IF(F160&lt;&gt;"",F160,0)+IF(H160&lt;&gt;"",H160,0)+IF(J160&lt;&gt;"",J160,0),""))</f>
        <v/>
      </c>
      <c r="M160" s="18">
        <f>IF(AND(D160="",E160=""),"",IFERROR(IF(G160&lt;&gt;"",G160,0)+IF(I160&lt;&gt;"",I160,0)+IF(K160&lt;&gt;"",K160,0),""))</f>
        <v/>
      </c>
      <c r="N160" s="18">
        <f>IF(OR(L160="",M160=""),"",IF(L160&gt;M160,D160,IF(M160&gt;L160,E160,"Draw")))</f>
        <v/>
      </c>
      <c r="O160" s="18">
        <f>IF(AND(D160="",E160=""),"",IF(AND(L160&lt;&gt;"",M160&lt;&gt;""),"Completed","Scheduled"))</f>
        <v/>
      </c>
    </row>
    <row r="161">
      <c r="A161" s="15" t="n"/>
      <c r="B161" s="16" t="n"/>
      <c r="C161" s="16" t="n"/>
      <c r="D161" s="17" t="n"/>
      <c r="E161" s="17" t="n"/>
      <c r="F161" s="16" t="n"/>
      <c r="G161" s="16" t="n"/>
      <c r="H161" s="16" t="n"/>
      <c r="I161" s="16" t="n"/>
      <c r="J161" s="16" t="n"/>
      <c r="K161" s="16" t="n"/>
      <c r="L161" s="18">
        <f>IF(AND(D161="",E161=""),"",IFERROR(IF(F161&lt;&gt;"",F161,0)+IF(H161&lt;&gt;"",H161,0)+IF(J161&lt;&gt;"",J161,0),""))</f>
        <v/>
      </c>
      <c r="M161" s="18">
        <f>IF(AND(D161="",E161=""),"",IFERROR(IF(G161&lt;&gt;"",G161,0)+IF(I161&lt;&gt;"",I161,0)+IF(K161&lt;&gt;"",K161,0),""))</f>
        <v/>
      </c>
      <c r="N161" s="18">
        <f>IF(OR(L161="",M161=""),"",IF(L161&gt;M161,D161,IF(M161&gt;L161,E161,"Draw")))</f>
        <v/>
      </c>
      <c r="O161" s="18">
        <f>IF(AND(D161="",E161=""),"",IF(AND(L161&lt;&gt;"",M161&lt;&gt;""),"Completed","Scheduled"))</f>
        <v/>
      </c>
    </row>
    <row r="162">
      <c r="A162" s="15" t="n"/>
      <c r="B162" s="16" t="n"/>
      <c r="C162" s="16" t="n"/>
      <c r="D162" s="17" t="n"/>
      <c r="E162" s="17" t="n"/>
      <c r="F162" s="16" t="n"/>
      <c r="G162" s="16" t="n"/>
      <c r="H162" s="16" t="n"/>
      <c r="I162" s="16" t="n"/>
      <c r="J162" s="16" t="n"/>
      <c r="K162" s="16" t="n"/>
      <c r="L162" s="18">
        <f>IF(AND(D162="",E162=""),"",IFERROR(IF(F162&lt;&gt;"",F162,0)+IF(H162&lt;&gt;"",H162,0)+IF(J162&lt;&gt;"",J162,0),""))</f>
        <v/>
      </c>
      <c r="M162" s="18">
        <f>IF(AND(D162="",E162=""),"",IFERROR(IF(G162&lt;&gt;"",G162,0)+IF(I162&lt;&gt;"",I162,0)+IF(K162&lt;&gt;"",K162,0),""))</f>
        <v/>
      </c>
      <c r="N162" s="18">
        <f>IF(OR(L162="",M162=""),"",IF(L162&gt;M162,D162,IF(M162&gt;L162,E162,"Draw")))</f>
        <v/>
      </c>
      <c r="O162" s="18">
        <f>IF(AND(D162="",E162=""),"",IF(AND(L162&lt;&gt;"",M162&lt;&gt;""),"Completed","Scheduled"))</f>
        <v/>
      </c>
    </row>
    <row r="163">
      <c r="A163" s="15" t="n"/>
      <c r="B163" s="16" t="n"/>
      <c r="C163" s="16" t="n"/>
      <c r="D163" s="17" t="n"/>
      <c r="E163" s="17" t="n"/>
      <c r="F163" s="16" t="n"/>
      <c r="G163" s="16" t="n"/>
      <c r="H163" s="16" t="n"/>
      <c r="I163" s="16" t="n"/>
      <c r="J163" s="16" t="n"/>
      <c r="K163" s="16" t="n"/>
      <c r="L163" s="18">
        <f>IF(AND(D163="",E163=""),"",IFERROR(IF(F163&lt;&gt;"",F163,0)+IF(H163&lt;&gt;"",H163,0)+IF(J163&lt;&gt;"",J163,0),""))</f>
        <v/>
      </c>
      <c r="M163" s="18">
        <f>IF(AND(D163="",E163=""),"",IFERROR(IF(G163&lt;&gt;"",G163,0)+IF(I163&lt;&gt;"",I163,0)+IF(K163&lt;&gt;"",K163,0),""))</f>
        <v/>
      </c>
      <c r="N163" s="18">
        <f>IF(OR(L163="",M163=""),"",IF(L163&gt;M163,D163,IF(M163&gt;L163,E163,"Draw")))</f>
        <v/>
      </c>
      <c r="O163" s="18">
        <f>IF(AND(D163="",E163=""),"",IF(AND(L163&lt;&gt;"",M163&lt;&gt;""),"Completed","Scheduled"))</f>
        <v/>
      </c>
    </row>
    <row r="164">
      <c r="A164" s="15" t="n"/>
      <c r="B164" s="16" t="n"/>
      <c r="C164" s="16" t="n"/>
      <c r="D164" s="17" t="n"/>
      <c r="E164" s="17" t="n"/>
      <c r="F164" s="16" t="n"/>
      <c r="G164" s="16" t="n"/>
      <c r="H164" s="16" t="n"/>
      <c r="I164" s="16" t="n"/>
      <c r="J164" s="16" t="n"/>
      <c r="K164" s="16" t="n"/>
      <c r="L164" s="18">
        <f>IF(AND(D164="",E164=""),"",IFERROR(IF(F164&lt;&gt;"",F164,0)+IF(H164&lt;&gt;"",H164,0)+IF(J164&lt;&gt;"",J164,0),""))</f>
        <v/>
      </c>
      <c r="M164" s="18">
        <f>IF(AND(D164="",E164=""),"",IFERROR(IF(G164&lt;&gt;"",G164,0)+IF(I164&lt;&gt;"",I164,0)+IF(K164&lt;&gt;"",K164,0),""))</f>
        <v/>
      </c>
      <c r="N164" s="18">
        <f>IF(OR(L164="",M164=""),"",IF(L164&gt;M164,D164,IF(M164&gt;L164,E164,"Draw")))</f>
        <v/>
      </c>
      <c r="O164" s="18">
        <f>IF(AND(D164="",E164=""),"",IF(AND(L164&lt;&gt;"",M164&lt;&gt;""),"Completed","Scheduled"))</f>
        <v/>
      </c>
    </row>
    <row r="165">
      <c r="A165" s="15" t="n"/>
      <c r="B165" s="16" t="n"/>
      <c r="C165" s="16" t="n"/>
      <c r="D165" s="17" t="n"/>
      <c r="E165" s="17" t="n"/>
      <c r="F165" s="16" t="n"/>
      <c r="G165" s="16" t="n"/>
      <c r="H165" s="16" t="n"/>
      <c r="I165" s="16" t="n"/>
      <c r="J165" s="16" t="n"/>
      <c r="K165" s="16" t="n"/>
      <c r="L165" s="18">
        <f>IF(AND(D165="",E165=""),"",IFERROR(IF(F165&lt;&gt;"",F165,0)+IF(H165&lt;&gt;"",H165,0)+IF(J165&lt;&gt;"",J165,0),""))</f>
        <v/>
      </c>
      <c r="M165" s="18">
        <f>IF(AND(D165="",E165=""),"",IFERROR(IF(G165&lt;&gt;"",G165,0)+IF(I165&lt;&gt;"",I165,0)+IF(K165&lt;&gt;"",K165,0),""))</f>
        <v/>
      </c>
      <c r="N165" s="18">
        <f>IF(OR(L165="",M165=""),"",IF(L165&gt;M165,D165,IF(M165&gt;L165,E165,"Draw")))</f>
        <v/>
      </c>
      <c r="O165" s="18">
        <f>IF(AND(D165="",E165=""),"",IF(AND(L165&lt;&gt;"",M165&lt;&gt;""),"Completed","Scheduled"))</f>
        <v/>
      </c>
    </row>
    <row r="166">
      <c r="A166" s="15" t="n"/>
      <c r="B166" s="16" t="n"/>
      <c r="C166" s="16" t="n"/>
      <c r="D166" s="17" t="n"/>
      <c r="E166" s="17" t="n"/>
      <c r="F166" s="16" t="n"/>
      <c r="G166" s="16" t="n"/>
      <c r="H166" s="16" t="n"/>
      <c r="I166" s="16" t="n"/>
      <c r="J166" s="16" t="n"/>
      <c r="K166" s="16" t="n"/>
      <c r="L166" s="18">
        <f>IF(AND(D166="",E166=""),"",IFERROR(IF(F166&lt;&gt;"",F166,0)+IF(H166&lt;&gt;"",H166,0)+IF(J166&lt;&gt;"",J166,0),""))</f>
        <v/>
      </c>
      <c r="M166" s="18">
        <f>IF(AND(D166="",E166=""),"",IFERROR(IF(G166&lt;&gt;"",G166,0)+IF(I166&lt;&gt;"",I166,0)+IF(K166&lt;&gt;"",K166,0),""))</f>
        <v/>
      </c>
      <c r="N166" s="18">
        <f>IF(OR(L166="",M166=""),"",IF(L166&gt;M166,D166,IF(M166&gt;L166,E166,"Draw")))</f>
        <v/>
      </c>
      <c r="O166" s="18">
        <f>IF(AND(D166="",E166=""),"",IF(AND(L166&lt;&gt;"",M166&lt;&gt;""),"Completed","Scheduled"))</f>
        <v/>
      </c>
    </row>
    <row r="167">
      <c r="A167" s="15" t="n"/>
      <c r="B167" s="16" t="n"/>
      <c r="C167" s="16" t="n"/>
      <c r="D167" s="17" t="n"/>
      <c r="E167" s="17" t="n"/>
      <c r="F167" s="16" t="n"/>
      <c r="G167" s="16" t="n"/>
      <c r="H167" s="16" t="n"/>
      <c r="I167" s="16" t="n"/>
      <c r="J167" s="16" t="n"/>
      <c r="K167" s="16" t="n"/>
      <c r="L167" s="18">
        <f>IF(AND(D167="",E167=""),"",IFERROR(IF(F167&lt;&gt;"",F167,0)+IF(H167&lt;&gt;"",H167,0)+IF(J167&lt;&gt;"",J167,0),""))</f>
        <v/>
      </c>
      <c r="M167" s="18">
        <f>IF(AND(D167="",E167=""),"",IFERROR(IF(G167&lt;&gt;"",G167,0)+IF(I167&lt;&gt;"",I167,0)+IF(K167&lt;&gt;"",K167,0),""))</f>
        <v/>
      </c>
      <c r="N167" s="18">
        <f>IF(OR(L167="",M167=""),"",IF(L167&gt;M167,D167,IF(M167&gt;L167,E167,"Draw")))</f>
        <v/>
      </c>
      <c r="O167" s="18">
        <f>IF(AND(D167="",E167=""),"",IF(AND(L167&lt;&gt;"",M167&lt;&gt;""),"Completed","Scheduled"))</f>
        <v/>
      </c>
    </row>
    <row r="168">
      <c r="A168" s="15" t="n"/>
      <c r="B168" s="16" t="n"/>
      <c r="C168" s="16" t="n"/>
      <c r="D168" s="17" t="n"/>
      <c r="E168" s="17" t="n"/>
      <c r="F168" s="16" t="n"/>
      <c r="G168" s="16" t="n"/>
      <c r="H168" s="16" t="n"/>
      <c r="I168" s="16" t="n"/>
      <c r="J168" s="16" t="n"/>
      <c r="K168" s="16" t="n"/>
      <c r="L168" s="18">
        <f>IF(AND(D168="",E168=""),"",IFERROR(IF(F168&lt;&gt;"",F168,0)+IF(H168&lt;&gt;"",H168,0)+IF(J168&lt;&gt;"",J168,0),""))</f>
        <v/>
      </c>
      <c r="M168" s="18">
        <f>IF(AND(D168="",E168=""),"",IFERROR(IF(G168&lt;&gt;"",G168,0)+IF(I168&lt;&gt;"",I168,0)+IF(K168&lt;&gt;"",K168,0),""))</f>
        <v/>
      </c>
      <c r="N168" s="18">
        <f>IF(OR(L168="",M168=""),"",IF(L168&gt;M168,D168,IF(M168&gt;L168,E168,"Draw")))</f>
        <v/>
      </c>
      <c r="O168" s="18">
        <f>IF(AND(D168="",E168=""),"",IF(AND(L168&lt;&gt;"",M168&lt;&gt;""),"Completed","Scheduled"))</f>
        <v/>
      </c>
    </row>
    <row r="169">
      <c r="A169" s="15" t="n"/>
      <c r="B169" s="16" t="n"/>
      <c r="C169" s="16" t="n"/>
      <c r="D169" s="17" t="n"/>
      <c r="E169" s="17" t="n"/>
      <c r="F169" s="16" t="n"/>
      <c r="G169" s="16" t="n"/>
      <c r="H169" s="16" t="n"/>
      <c r="I169" s="16" t="n"/>
      <c r="J169" s="16" t="n"/>
      <c r="K169" s="16" t="n"/>
      <c r="L169" s="18">
        <f>IF(AND(D169="",E169=""),"",IFERROR(IF(F169&lt;&gt;"",F169,0)+IF(H169&lt;&gt;"",H169,0)+IF(J169&lt;&gt;"",J169,0),""))</f>
        <v/>
      </c>
      <c r="M169" s="18">
        <f>IF(AND(D169="",E169=""),"",IFERROR(IF(G169&lt;&gt;"",G169,0)+IF(I169&lt;&gt;"",I169,0)+IF(K169&lt;&gt;"",K169,0),""))</f>
        <v/>
      </c>
      <c r="N169" s="18">
        <f>IF(OR(L169="",M169=""),"",IF(L169&gt;M169,D169,IF(M169&gt;L169,E169,"Draw")))</f>
        <v/>
      </c>
      <c r="O169" s="18">
        <f>IF(AND(D169="",E169=""),"",IF(AND(L169&lt;&gt;"",M169&lt;&gt;""),"Completed","Scheduled"))</f>
        <v/>
      </c>
    </row>
    <row r="170">
      <c r="A170" s="15" t="n"/>
      <c r="B170" s="16" t="n"/>
      <c r="C170" s="16" t="n"/>
      <c r="D170" s="17" t="n"/>
      <c r="E170" s="17" t="n"/>
      <c r="F170" s="16" t="n"/>
      <c r="G170" s="16" t="n"/>
      <c r="H170" s="16" t="n"/>
      <c r="I170" s="16" t="n"/>
      <c r="J170" s="16" t="n"/>
      <c r="K170" s="16" t="n"/>
      <c r="L170" s="18">
        <f>IF(AND(D170="",E170=""),"",IFERROR(IF(F170&lt;&gt;"",F170,0)+IF(H170&lt;&gt;"",H170,0)+IF(J170&lt;&gt;"",J170,0),""))</f>
        <v/>
      </c>
      <c r="M170" s="18">
        <f>IF(AND(D170="",E170=""),"",IFERROR(IF(G170&lt;&gt;"",G170,0)+IF(I170&lt;&gt;"",I170,0)+IF(K170&lt;&gt;"",K170,0),""))</f>
        <v/>
      </c>
      <c r="N170" s="18">
        <f>IF(OR(L170="",M170=""),"",IF(L170&gt;M170,D170,IF(M170&gt;L170,E170,"Draw")))</f>
        <v/>
      </c>
      <c r="O170" s="18">
        <f>IF(AND(D170="",E170=""),"",IF(AND(L170&lt;&gt;"",M170&lt;&gt;""),"Completed","Scheduled"))</f>
        <v/>
      </c>
    </row>
    <row r="171">
      <c r="A171" s="15" t="n"/>
      <c r="B171" s="16" t="n"/>
      <c r="C171" s="16" t="n"/>
      <c r="D171" s="17" t="n"/>
      <c r="E171" s="17" t="n"/>
      <c r="F171" s="16" t="n"/>
      <c r="G171" s="16" t="n"/>
      <c r="H171" s="16" t="n"/>
      <c r="I171" s="16" t="n"/>
      <c r="J171" s="16" t="n"/>
      <c r="K171" s="16" t="n"/>
      <c r="L171" s="18">
        <f>IF(AND(D171="",E171=""),"",IFERROR(IF(F171&lt;&gt;"",F171,0)+IF(H171&lt;&gt;"",H171,0)+IF(J171&lt;&gt;"",J171,0),""))</f>
        <v/>
      </c>
      <c r="M171" s="18">
        <f>IF(AND(D171="",E171=""),"",IFERROR(IF(G171&lt;&gt;"",G171,0)+IF(I171&lt;&gt;"",I171,0)+IF(K171&lt;&gt;"",K171,0),""))</f>
        <v/>
      </c>
      <c r="N171" s="18">
        <f>IF(OR(L171="",M171=""),"",IF(L171&gt;M171,D171,IF(M171&gt;L171,E171,"Draw")))</f>
        <v/>
      </c>
      <c r="O171" s="18">
        <f>IF(AND(D171="",E171=""),"",IF(AND(L171&lt;&gt;"",M171&lt;&gt;""),"Completed","Scheduled"))</f>
        <v/>
      </c>
    </row>
    <row r="172">
      <c r="A172" s="15" t="n"/>
      <c r="B172" s="16" t="n"/>
      <c r="C172" s="16" t="n"/>
      <c r="D172" s="17" t="n"/>
      <c r="E172" s="17" t="n"/>
      <c r="F172" s="16" t="n"/>
      <c r="G172" s="16" t="n"/>
      <c r="H172" s="16" t="n"/>
      <c r="I172" s="16" t="n"/>
      <c r="J172" s="16" t="n"/>
      <c r="K172" s="16" t="n"/>
      <c r="L172" s="18">
        <f>IF(AND(D172="",E172=""),"",IFERROR(IF(F172&lt;&gt;"",F172,0)+IF(H172&lt;&gt;"",H172,0)+IF(J172&lt;&gt;"",J172,0),""))</f>
        <v/>
      </c>
      <c r="M172" s="18">
        <f>IF(AND(D172="",E172=""),"",IFERROR(IF(G172&lt;&gt;"",G172,0)+IF(I172&lt;&gt;"",I172,0)+IF(K172&lt;&gt;"",K172,0),""))</f>
        <v/>
      </c>
      <c r="N172" s="18">
        <f>IF(OR(L172="",M172=""),"",IF(L172&gt;M172,D172,IF(M172&gt;L172,E172,"Draw")))</f>
        <v/>
      </c>
      <c r="O172" s="18">
        <f>IF(AND(D172="",E172=""),"",IF(AND(L172&lt;&gt;"",M172&lt;&gt;""),"Completed","Scheduled"))</f>
        <v/>
      </c>
    </row>
    <row r="173">
      <c r="A173" s="15" t="n"/>
      <c r="B173" s="16" t="n"/>
      <c r="C173" s="16" t="n"/>
      <c r="D173" s="17" t="n"/>
      <c r="E173" s="17" t="n"/>
      <c r="F173" s="16" t="n"/>
      <c r="G173" s="16" t="n"/>
      <c r="H173" s="16" t="n"/>
      <c r="I173" s="16" t="n"/>
      <c r="J173" s="16" t="n"/>
      <c r="K173" s="16" t="n"/>
      <c r="L173" s="18">
        <f>IF(AND(D173="",E173=""),"",IFERROR(IF(F173&lt;&gt;"",F173,0)+IF(H173&lt;&gt;"",H173,0)+IF(J173&lt;&gt;"",J173,0),""))</f>
        <v/>
      </c>
      <c r="M173" s="18">
        <f>IF(AND(D173="",E173=""),"",IFERROR(IF(G173&lt;&gt;"",G173,0)+IF(I173&lt;&gt;"",I173,0)+IF(K173&lt;&gt;"",K173,0),""))</f>
        <v/>
      </c>
      <c r="N173" s="18">
        <f>IF(OR(L173="",M173=""),"",IF(L173&gt;M173,D173,IF(M173&gt;L173,E173,"Draw")))</f>
        <v/>
      </c>
      <c r="O173" s="18">
        <f>IF(AND(D173="",E173=""),"",IF(AND(L173&lt;&gt;"",M173&lt;&gt;""),"Completed","Scheduled"))</f>
        <v/>
      </c>
    </row>
    <row r="174">
      <c r="A174" s="15" t="n"/>
      <c r="B174" s="16" t="n"/>
      <c r="C174" s="16" t="n"/>
      <c r="D174" s="17" t="n"/>
      <c r="E174" s="17" t="n"/>
      <c r="F174" s="16" t="n"/>
      <c r="G174" s="16" t="n"/>
      <c r="H174" s="16" t="n"/>
      <c r="I174" s="16" t="n"/>
      <c r="J174" s="16" t="n"/>
      <c r="K174" s="16" t="n"/>
      <c r="L174" s="18">
        <f>IF(AND(D174="",E174=""),"",IFERROR(IF(F174&lt;&gt;"",F174,0)+IF(H174&lt;&gt;"",H174,0)+IF(J174&lt;&gt;"",J174,0),""))</f>
        <v/>
      </c>
      <c r="M174" s="18">
        <f>IF(AND(D174="",E174=""),"",IFERROR(IF(G174&lt;&gt;"",G174,0)+IF(I174&lt;&gt;"",I174,0)+IF(K174&lt;&gt;"",K174,0),""))</f>
        <v/>
      </c>
      <c r="N174" s="18">
        <f>IF(OR(L174="",M174=""),"",IF(L174&gt;M174,D174,IF(M174&gt;L174,E174,"Draw")))</f>
        <v/>
      </c>
      <c r="O174" s="18">
        <f>IF(AND(D174="",E174=""),"",IF(AND(L174&lt;&gt;"",M174&lt;&gt;""),"Completed","Scheduled"))</f>
        <v/>
      </c>
    </row>
    <row r="175">
      <c r="A175" s="15" t="n"/>
      <c r="B175" s="16" t="n"/>
      <c r="C175" s="16" t="n"/>
      <c r="D175" s="17" t="n"/>
      <c r="E175" s="17" t="n"/>
      <c r="F175" s="16" t="n"/>
      <c r="G175" s="16" t="n"/>
      <c r="H175" s="16" t="n"/>
      <c r="I175" s="16" t="n"/>
      <c r="J175" s="16" t="n"/>
      <c r="K175" s="16" t="n"/>
      <c r="L175" s="18">
        <f>IF(AND(D175="",E175=""),"",IFERROR(IF(F175&lt;&gt;"",F175,0)+IF(H175&lt;&gt;"",H175,0)+IF(J175&lt;&gt;"",J175,0),""))</f>
        <v/>
      </c>
      <c r="M175" s="18">
        <f>IF(AND(D175="",E175=""),"",IFERROR(IF(G175&lt;&gt;"",G175,0)+IF(I175&lt;&gt;"",I175,0)+IF(K175&lt;&gt;"",K175,0),""))</f>
        <v/>
      </c>
      <c r="N175" s="18">
        <f>IF(OR(L175="",M175=""),"",IF(L175&gt;M175,D175,IF(M175&gt;L175,E175,"Draw")))</f>
        <v/>
      </c>
      <c r="O175" s="18">
        <f>IF(AND(D175="",E175=""),"",IF(AND(L175&lt;&gt;"",M175&lt;&gt;""),"Completed","Scheduled"))</f>
        <v/>
      </c>
    </row>
    <row r="176">
      <c r="A176" s="15" t="n"/>
      <c r="B176" s="16" t="n"/>
      <c r="C176" s="16" t="n"/>
      <c r="D176" s="17" t="n"/>
      <c r="E176" s="17" t="n"/>
      <c r="F176" s="16" t="n"/>
      <c r="G176" s="16" t="n"/>
      <c r="H176" s="16" t="n"/>
      <c r="I176" s="16" t="n"/>
      <c r="J176" s="16" t="n"/>
      <c r="K176" s="16" t="n"/>
      <c r="L176" s="18">
        <f>IF(AND(D176="",E176=""),"",IFERROR(IF(F176&lt;&gt;"",F176,0)+IF(H176&lt;&gt;"",H176,0)+IF(J176&lt;&gt;"",J176,0),""))</f>
        <v/>
      </c>
      <c r="M176" s="18">
        <f>IF(AND(D176="",E176=""),"",IFERROR(IF(G176&lt;&gt;"",G176,0)+IF(I176&lt;&gt;"",I176,0)+IF(K176&lt;&gt;"",K176,0),""))</f>
        <v/>
      </c>
      <c r="N176" s="18">
        <f>IF(OR(L176="",M176=""),"",IF(L176&gt;M176,D176,IF(M176&gt;L176,E176,"Draw")))</f>
        <v/>
      </c>
      <c r="O176" s="18">
        <f>IF(AND(D176="",E176=""),"",IF(AND(L176&lt;&gt;"",M176&lt;&gt;""),"Completed","Scheduled"))</f>
        <v/>
      </c>
    </row>
    <row r="177">
      <c r="A177" s="15" t="n"/>
      <c r="B177" s="16" t="n"/>
      <c r="C177" s="16" t="n"/>
      <c r="D177" s="17" t="n"/>
      <c r="E177" s="17" t="n"/>
      <c r="F177" s="16" t="n"/>
      <c r="G177" s="16" t="n"/>
      <c r="H177" s="16" t="n"/>
      <c r="I177" s="16" t="n"/>
      <c r="J177" s="16" t="n"/>
      <c r="K177" s="16" t="n"/>
      <c r="L177" s="18">
        <f>IF(AND(D177="",E177=""),"",IFERROR(IF(F177&lt;&gt;"",F177,0)+IF(H177&lt;&gt;"",H177,0)+IF(J177&lt;&gt;"",J177,0),""))</f>
        <v/>
      </c>
      <c r="M177" s="18">
        <f>IF(AND(D177="",E177=""),"",IFERROR(IF(G177&lt;&gt;"",G177,0)+IF(I177&lt;&gt;"",I177,0)+IF(K177&lt;&gt;"",K177,0),""))</f>
        <v/>
      </c>
      <c r="N177" s="18">
        <f>IF(OR(L177="",M177=""),"",IF(L177&gt;M177,D177,IF(M177&gt;L177,E177,"Draw")))</f>
        <v/>
      </c>
      <c r="O177" s="18">
        <f>IF(AND(D177="",E177=""),"",IF(AND(L177&lt;&gt;"",M177&lt;&gt;""),"Completed","Scheduled"))</f>
        <v/>
      </c>
    </row>
    <row r="178">
      <c r="A178" s="15" t="n"/>
      <c r="B178" s="16" t="n"/>
      <c r="C178" s="16" t="n"/>
      <c r="D178" s="17" t="n"/>
      <c r="E178" s="17" t="n"/>
      <c r="F178" s="16" t="n"/>
      <c r="G178" s="16" t="n"/>
      <c r="H178" s="16" t="n"/>
      <c r="I178" s="16" t="n"/>
      <c r="J178" s="16" t="n"/>
      <c r="K178" s="16" t="n"/>
      <c r="L178" s="18">
        <f>IF(AND(D178="",E178=""),"",IFERROR(IF(F178&lt;&gt;"",F178,0)+IF(H178&lt;&gt;"",H178,0)+IF(J178&lt;&gt;"",J178,0),""))</f>
        <v/>
      </c>
      <c r="M178" s="18">
        <f>IF(AND(D178="",E178=""),"",IFERROR(IF(G178&lt;&gt;"",G178,0)+IF(I178&lt;&gt;"",I178,0)+IF(K178&lt;&gt;"",K178,0),""))</f>
        <v/>
      </c>
      <c r="N178" s="18">
        <f>IF(OR(L178="",M178=""),"",IF(L178&gt;M178,D178,IF(M178&gt;L178,E178,"Draw")))</f>
        <v/>
      </c>
      <c r="O178" s="18">
        <f>IF(AND(D178="",E178=""),"",IF(AND(L178&lt;&gt;"",M178&lt;&gt;""),"Completed","Scheduled"))</f>
        <v/>
      </c>
    </row>
    <row r="179">
      <c r="A179" s="15" t="n"/>
      <c r="B179" s="16" t="n"/>
      <c r="C179" s="16" t="n"/>
      <c r="D179" s="17" t="n"/>
      <c r="E179" s="17" t="n"/>
      <c r="F179" s="16" t="n"/>
      <c r="G179" s="16" t="n"/>
      <c r="H179" s="16" t="n"/>
      <c r="I179" s="16" t="n"/>
      <c r="J179" s="16" t="n"/>
      <c r="K179" s="16" t="n"/>
      <c r="L179" s="18">
        <f>IF(AND(D179="",E179=""),"",IFERROR(IF(F179&lt;&gt;"",F179,0)+IF(H179&lt;&gt;"",H179,0)+IF(J179&lt;&gt;"",J179,0),""))</f>
        <v/>
      </c>
      <c r="M179" s="18">
        <f>IF(AND(D179="",E179=""),"",IFERROR(IF(G179&lt;&gt;"",G179,0)+IF(I179&lt;&gt;"",I179,0)+IF(K179&lt;&gt;"",K179,0),""))</f>
        <v/>
      </c>
      <c r="N179" s="18">
        <f>IF(OR(L179="",M179=""),"",IF(L179&gt;M179,D179,IF(M179&gt;L179,E179,"Draw")))</f>
        <v/>
      </c>
      <c r="O179" s="18">
        <f>IF(AND(D179="",E179=""),"",IF(AND(L179&lt;&gt;"",M179&lt;&gt;""),"Completed","Scheduled"))</f>
        <v/>
      </c>
    </row>
    <row r="180">
      <c r="A180" s="15" t="n"/>
      <c r="B180" s="16" t="n"/>
      <c r="C180" s="16" t="n"/>
      <c r="D180" s="17" t="n"/>
      <c r="E180" s="17" t="n"/>
      <c r="F180" s="16" t="n"/>
      <c r="G180" s="16" t="n"/>
      <c r="H180" s="16" t="n"/>
      <c r="I180" s="16" t="n"/>
      <c r="J180" s="16" t="n"/>
      <c r="K180" s="16" t="n"/>
      <c r="L180" s="18">
        <f>IF(AND(D180="",E180=""),"",IFERROR(IF(F180&lt;&gt;"",F180,0)+IF(H180&lt;&gt;"",H180,0)+IF(J180&lt;&gt;"",J180,0),""))</f>
        <v/>
      </c>
      <c r="M180" s="18">
        <f>IF(AND(D180="",E180=""),"",IFERROR(IF(G180&lt;&gt;"",G180,0)+IF(I180&lt;&gt;"",I180,0)+IF(K180&lt;&gt;"",K180,0),""))</f>
        <v/>
      </c>
      <c r="N180" s="18">
        <f>IF(OR(L180="",M180=""),"",IF(L180&gt;M180,D180,IF(M180&gt;L180,E180,"Draw")))</f>
        <v/>
      </c>
      <c r="O180" s="18">
        <f>IF(AND(D180="",E180=""),"",IF(AND(L180&lt;&gt;"",M180&lt;&gt;""),"Completed","Scheduled"))</f>
        <v/>
      </c>
    </row>
    <row r="181">
      <c r="A181" s="15" t="n"/>
      <c r="B181" s="16" t="n"/>
      <c r="C181" s="16" t="n"/>
      <c r="D181" s="17" t="n"/>
      <c r="E181" s="17" t="n"/>
      <c r="F181" s="16" t="n"/>
      <c r="G181" s="16" t="n"/>
      <c r="H181" s="16" t="n"/>
      <c r="I181" s="16" t="n"/>
      <c r="J181" s="16" t="n"/>
      <c r="K181" s="16" t="n"/>
      <c r="L181" s="18">
        <f>IF(AND(D181="",E181=""),"",IFERROR(IF(F181&lt;&gt;"",F181,0)+IF(H181&lt;&gt;"",H181,0)+IF(J181&lt;&gt;"",J181,0),""))</f>
        <v/>
      </c>
      <c r="M181" s="18">
        <f>IF(AND(D181="",E181=""),"",IFERROR(IF(G181&lt;&gt;"",G181,0)+IF(I181&lt;&gt;"",I181,0)+IF(K181&lt;&gt;"",K181,0),""))</f>
        <v/>
      </c>
      <c r="N181" s="18">
        <f>IF(OR(L181="",M181=""),"",IF(L181&gt;M181,D181,IF(M181&gt;L181,E181,"Draw")))</f>
        <v/>
      </c>
      <c r="O181" s="18">
        <f>IF(AND(D181="",E181=""),"",IF(AND(L181&lt;&gt;"",M181&lt;&gt;""),"Completed","Scheduled"))</f>
        <v/>
      </c>
    </row>
    <row r="182">
      <c r="A182" s="15" t="n"/>
      <c r="B182" s="16" t="n"/>
      <c r="C182" s="16" t="n"/>
      <c r="D182" s="17" t="n"/>
      <c r="E182" s="17" t="n"/>
      <c r="F182" s="16" t="n"/>
      <c r="G182" s="16" t="n"/>
      <c r="H182" s="16" t="n"/>
      <c r="I182" s="16" t="n"/>
      <c r="J182" s="16" t="n"/>
      <c r="K182" s="16" t="n"/>
      <c r="L182" s="18">
        <f>IF(AND(D182="",E182=""),"",IFERROR(IF(F182&lt;&gt;"",F182,0)+IF(H182&lt;&gt;"",H182,0)+IF(J182&lt;&gt;"",J182,0),""))</f>
        <v/>
      </c>
      <c r="M182" s="18">
        <f>IF(AND(D182="",E182=""),"",IFERROR(IF(G182&lt;&gt;"",G182,0)+IF(I182&lt;&gt;"",I182,0)+IF(K182&lt;&gt;"",K182,0),""))</f>
        <v/>
      </c>
      <c r="N182" s="18">
        <f>IF(OR(L182="",M182=""),"",IF(L182&gt;M182,D182,IF(M182&gt;L182,E182,"Draw")))</f>
        <v/>
      </c>
      <c r="O182" s="18">
        <f>IF(AND(D182="",E182=""),"",IF(AND(L182&lt;&gt;"",M182&lt;&gt;""),"Completed","Scheduled"))</f>
        <v/>
      </c>
    </row>
    <row r="183">
      <c r="A183" s="15" t="n"/>
      <c r="B183" s="16" t="n"/>
      <c r="C183" s="16" t="n"/>
      <c r="D183" s="17" t="n"/>
      <c r="E183" s="17" t="n"/>
      <c r="F183" s="16" t="n"/>
      <c r="G183" s="16" t="n"/>
      <c r="H183" s="16" t="n"/>
      <c r="I183" s="16" t="n"/>
      <c r="J183" s="16" t="n"/>
      <c r="K183" s="16" t="n"/>
      <c r="L183" s="18">
        <f>IF(AND(D183="",E183=""),"",IFERROR(IF(F183&lt;&gt;"",F183,0)+IF(H183&lt;&gt;"",H183,0)+IF(J183&lt;&gt;"",J183,0),""))</f>
        <v/>
      </c>
      <c r="M183" s="18">
        <f>IF(AND(D183="",E183=""),"",IFERROR(IF(G183&lt;&gt;"",G183,0)+IF(I183&lt;&gt;"",I183,0)+IF(K183&lt;&gt;"",K183,0),""))</f>
        <v/>
      </c>
      <c r="N183" s="18">
        <f>IF(OR(L183="",M183=""),"",IF(L183&gt;M183,D183,IF(M183&gt;L183,E183,"Draw")))</f>
        <v/>
      </c>
      <c r="O183" s="18">
        <f>IF(AND(D183="",E183=""),"",IF(AND(L183&lt;&gt;"",M183&lt;&gt;""),"Completed","Scheduled"))</f>
        <v/>
      </c>
    </row>
    <row r="184">
      <c r="A184" s="15" t="n"/>
      <c r="B184" s="16" t="n"/>
      <c r="C184" s="16" t="n"/>
      <c r="D184" s="17" t="n"/>
      <c r="E184" s="17" t="n"/>
      <c r="F184" s="16" t="n"/>
      <c r="G184" s="16" t="n"/>
      <c r="H184" s="16" t="n"/>
      <c r="I184" s="16" t="n"/>
      <c r="J184" s="16" t="n"/>
      <c r="K184" s="16" t="n"/>
      <c r="L184" s="18">
        <f>IF(AND(D184="",E184=""),"",IFERROR(IF(F184&lt;&gt;"",F184,0)+IF(H184&lt;&gt;"",H184,0)+IF(J184&lt;&gt;"",J184,0),""))</f>
        <v/>
      </c>
      <c r="M184" s="18">
        <f>IF(AND(D184="",E184=""),"",IFERROR(IF(G184&lt;&gt;"",G184,0)+IF(I184&lt;&gt;"",I184,0)+IF(K184&lt;&gt;"",K184,0),""))</f>
        <v/>
      </c>
      <c r="N184" s="18">
        <f>IF(OR(L184="",M184=""),"",IF(L184&gt;M184,D184,IF(M184&gt;L184,E184,"Draw")))</f>
        <v/>
      </c>
      <c r="O184" s="18">
        <f>IF(AND(D184="",E184=""),"",IF(AND(L184&lt;&gt;"",M184&lt;&gt;""),"Completed","Scheduled"))</f>
        <v/>
      </c>
    </row>
    <row r="185">
      <c r="A185" s="15" t="n"/>
      <c r="B185" s="16" t="n"/>
      <c r="C185" s="16" t="n"/>
      <c r="D185" s="17" t="n"/>
      <c r="E185" s="17" t="n"/>
      <c r="F185" s="16" t="n"/>
      <c r="G185" s="16" t="n"/>
      <c r="H185" s="16" t="n"/>
      <c r="I185" s="16" t="n"/>
      <c r="J185" s="16" t="n"/>
      <c r="K185" s="16" t="n"/>
      <c r="L185" s="18">
        <f>IF(AND(D185="",E185=""),"",IFERROR(IF(F185&lt;&gt;"",F185,0)+IF(H185&lt;&gt;"",H185,0)+IF(J185&lt;&gt;"",J185,0),""))</f>
        <v/>
      </c>
      <c r="M185" s="18">
        <f>IF(AND(D185="",E185=""),"",IFERROR(IF(G185&lt;&gt;"",G185,0)+IF(I185&lt;&gt;"",I185,0)+IF(K185&lt;&gt;"",K185,0),""))</f>
        <v/>
      </c>
      <c r="N185" s="18">
        <f>IF(OR(L185="",M185=""),"",IF(L185&gt;M185,D185,IF(M185&gt;L185,E185,"Draw")))</f>
        <v/>
      </c>
      <c r="O185" s="18">
        <f>IF(AND(D185="",E185=""),"",IF(AND(L185&lt;&gt;"",M185&lt;&gt;""),"Completed","Scheduled"))</f>
        <v/>
      </c>
    </row>
    <row r="186">
      <c r="A186" s="15" t="n"/>
      <c r="B186" s="16" t="n"/>
      <c r="C186" s="16" t="n"/>
      <c r="D186" s="17" t="n"/>
      <c r="E186" s="17" t="n"/>
      <c r="F186" s="16" t="n"/>
      <c r="G186" s="16" t="n"/>
      <c r="H186" s="16" t="n"/>
      <c r="I186" s="16" t="n"/>
      <c r="J186" s="16" t="n"/>
      <c r="K186" s="16" t="n"/>
      <c r="L186" s="18">
        <f>IF(AND(D186="",E186=""),"",IFERROR(IF(F186&lt;&gt;"",F186,0)+IF(H186&lt;&gt;"",H186,0)+IF(J186&lt;&gt;"",J186,0),""))</f>
        <v/>
      </c>
      <c r="M186" s="18">
        <f>IF(AND(D186="",E186=""),"",IFERROR(IF(G186&lt;&gt;"",G186,0)+IF(I186&lt;&gt;"",I186,0)+IF(K186&lt;&gt;"",K186,0),""))</f>
        <v/>
      </c>
      <c r="N186" s="18">
        <f>IF(OR(L186="",M186=""),"",IF(L186&gt;M186,D186,IF(M186&gt;L186,E186,"Draw")))</f>
        <v/>
      </c>
      <c r="O186" s="18">
        <f>IF(AND(D186="",E186=""),"",IF(AND(L186&lt;&gt;"",M186&lt;&gt;""),"Completed","Scheduled"))</f>
        <v/>
      </c>
    </row>
    <row r="187">
      <c r="A187" s="15" t="n"/>
      <c r="B187" s="16" t="n"/>
      <c r="C187" s="16" t="n"/>
      <c r="D187" s="17" t="n"/>
      <c r="E187" s="17" t="n"/>
      <c r="F187" s="16" t="n"/>
      <c r="G187" s="16" t="n"/>
      <c r="H187" s="16" t="n"/>
      <c r="I187" s="16" t="n"/>
      <c r="J187" s="16" t="n"/>
      <c r="K187" s="16" t="n"/>
      <c r="L187" s="18">
        <f>IF(AND(D187="",E187=""),"",IFERROR(IF(F187&lt;&gt;"",F187,0)+IF(H187&lt;&gt;"",H187,0)+IF(J187&lt;&gt;"",J187,0),""))</f>
        <v/>
      </c>
      <c r="M187" s="18">
        <f>IF(AND(D187="",E187=""),"",IFERROR(IF(G187&lt;&gt;"",G187,0)+IF(I187&lt;&gt;"",I187,0)+IF(K187&lt;&gt;"",K187,0),""))</f>
        <v/>
      </c>
      <c r="N187" s="18">
        <f>IF(OR(L187="",M187=""),"",IF(L187&gt;M187,D187,IF(M187&gt;L187,E187,"Draw")))</f>
        <v/>
      </c>
      <c r="O187" s="18">
        <f>IF(AND(D187="",E187=""),"",IF(AND(L187&lt;&gt;"",M187&lt;&gt;""),"Completed","Scheduled"))</f>
        <v/>
      </c>
    </row>
    <row r="188">
      <c r="A188" s="15" t="n"/>
      <c r="B188" s="16" t="n"/>
      <c r="C188" s="16" t="n"/>
      <c r="D188" s="17" t="n"/>
      <c r="E188" s="17" t="n"/>
      <c r="F188" s="16" t="n"/>
      <c r="G188" s="16" t="n"/>
      <c r="H188" s="16" t="n"/>
      <c r="I188" s="16" t="n"/>
      <c r="J188" s="16" t="n"/>
      <c r="K188" s="16" t="n"/>
      <c r="L188" s="18">
        <f>IF(AND(D188="",E188=""),"",IFERROR(IF(F188&lt;&gt;"",F188,0)+IF(H188&lt;&gt;"",H188,0)+IF(J188&lt;&gt;"",J188,0),""))</f>
        <v/>
      </c>
      <c r="M188" s="18">
        <f>IF(AND(D188="",E188=""),"",IFERROR(IF(G188&lt;&gt;"",G188,0)+IF(I188&lt;&gt;"",I188,0)+IF(K188&lt;&gt;"",K188,0),""))</f>
        <v/>
      </c>
      <c r="N188" s="18">
        <f>IF(OR(L188="",M188=""),"",IF(L188&gt;M188,D188,IF(M188&gt;L188,E188,"Draw")))</f>
        <v/>
      </c>
      <c r="O188" s="18">
        <f>IF(AND(D188="",E188=""),"",IF(AND(L188&lt;&gt;"",M188&lt;&gt;""),"Completed","Scheduled"))</f>
        <v/>
      </c>
    </row>
    <row r="189">
      <c r="A189" s="15" t="n"/>
      <c r="B189" s="16" t="n"/>
      <c r="C189" s="16" t="n"/>
      <c r="D189" s="17" t="n"/>
      <c r="E189" s="17" t="n"/>
      <c r="F189" s="16" t="n"/>
      <c r="G189" s="16" t="n"/>
      <c r="H189" s="16" t="n"/>
      <c r="I189" s="16" t="n"/>
      <c r="J189" s="16" t="n"/>
      <c r="K189" s="16" t="n"/>
      <c r="L189" s="18">
        <f>IF(AND(D189="",E189=""),"",IFERROR(IF(F189&lt;&gt;"",F189,0)+IF(H189&lt;&gt;"",H189,0)+IF(J189&lt;&gt;"",J189,0),""))</f>
        <v/>
      </c>
      <c r="M189" s="18">
        <f>IF(AND(D189="",E189=""),"",IFERROR(IF(G189&lt;&gt;"",G189,0)+IF(I189&lt;&gt;"",I189,0)+IF(K189&lt;&gt;"",K189,0),""))</f>
        <v/>
      </c>
      <c r="N189" s="18">
        <f>IF(OR(L189="",M189=""),"",IF(L189&gt;M189,D189,IF(M189&gt;L189,E189,"Draw")))</f>
        <v/>
      </c>
      <c r="O189" s="18">
        <f>IF(AND(D189="",E189=""),"",IF(AND(L189&lt;&gt;"",M189&lt;&gt;""),"Completed","Scheduled"))</f>
        <v/>
      </c>
    </row>
    <row r="190">
      <c r="A190" s="15" t="n"/>
      <c r="B190" s="16" t="n"/>
      <c r="C190" s="16" t="n"/>
      <c r="D190" s="17" t="n"/>
      <c r="E190" s="17" t="n"/>
      <c r="F190" s="16" t="n"/>
      <c r="G190" s="16" t="n"/>
      <c r="H190" s="16" t="n"/>
      <c r="I190" s="16" t="n"/>
      <c r="J190" s="16" t="n"/>
      <c r="K190" s="16" t="n"/>
      <c r="L190" s="18">
        <f>IF(AND(D190="",E190=""),"",IFERROR(IF(F190&lt;&gt;"",F190,0)+IF(H190&lt;&gt;"",H190,0)+IF(J190&lt;&gt;"",J190,0),""))</f>
        <v/>
      </c>
      <c r="M190" s="18">
        <f>IF(AND(D190="",E190=""),"",IFERROR(IF(G190&lt;&gt;"",G190,0)+IF(I190&lt;&gt;"",I190,0)+IF(K190&lt;&gt;"",K190,0),""))</f>
        <v/>
      </c>
      <c r="N190" s="18">
        <f>IF(OR(L190="",M190=""),"",IF(L190&gt;M190,D190,IF(M190&gt;L190,E190,"Draw")))</f>
        <v/>
      </c>
      <c r="O190" s="18">
        <f>IF(AND(D190="",E190=""),"",IF(AND(L190&lt;&gt;"",M190&lt;&gt;""),"Completed","Scheduled"))</f>
        <v/>
      </c>
    </row>
    <row r="191">
      <c r="A191" s="15" t="n"/>
      <c r="B191" s="16" t="n"/>
      <c r="C191" s="16" t="n"/>
      <c r="D191" s="17" t="n"/>
      <c r="E191" s="17" t="n"/>
      <c r="F191" s="16" t="n"/>
      <c r="G191" s="16" t="n"/>
      <c r="H191" s="16" t="n"/>
      <c r="I191" s="16" t="n"/>
      <c r="J191" s="16" t="n"/>
      <c r="K191" s="16" t="n"/>
      <c r="L191" s="18">
        <f>IF(AND(D191="",E191=""),"",IFERROR(IF(F191&lt;&gt;"",F191,0)+IF(H191&lt;&gt;"",H191,0)+IF(J191&lt;&gt;"",J191,0),""))</f>
        <v/>
      </c>
      <c r="M191" s="18">
        <f>IF(AND(D191="",E191=""),"",IFERROR(IF(G191&lt;&gt;"",G191,0)+IF(I191&lt;&gt;"",I191,0)+IF(K191&lt;&gt;"",K191,0),""))</f>
        <v/>
      </c>
      <c r="N191" s="18">
        <f>IF(OR(L191="",M191=""),"",IF(L191&gt;M191,D191,IF(M191&gt;L191,E191,"Draw")))</f>
        <v/>
      </c>
      <c r="O191" s="18">
        <f>IF(AND(D191="",E191=""),"",IF(AND(L191&lt;&gt;"",M191&lt;&gt;""),"Completed","Scheduled"))</f>
        <v/>
      </c>
    </row>
    <row r="192">
      <c r="A192" s="15" t="n"/>
      <c r="B192" s="16" t="n"/>
      <c r="C192" s="16" t="n"/>
      <c r="D192" s="17" t="n"/>
      <c r="E192" s="17" t="n"/>
      <c r="F192" s="16" t="n"/>
      <c r="G192" s="16" t="n"/>
      <c r="H192" s="16" t="n"/>
      <c r="I192" s="16" t="n"/>
      <c r="J192" s="16" t="n"/>
      <c r="K192" s="16" t="n"/>
      <c r="L192" s="18">
        <f>IF(AND(D192="",E192=""),"",IFERROR(IF(F192&lt;&gt;"",F192,0)+IF(H192&lt;&gt;"",H192,0)+IF(J192&lt;&gt;"",J192,0),""))</f>
        <v/>
      </c>
      <c r="M192" s="18">
        <f>IF(AND(D192="",E192=""),"",IFERROR(IF(G192&lt;&gt;"",G192,0)+IF(I192&lt;&gt;"",I192,0)+IF(K192&lt;&gt;"",K192,0),""))</f>
        <v/>
      </c>
      <c r="N192" s="18">
        <f>IF(OR(L192="",M192=""),"",IF(L192&gt;M192,D192,IF(M192&gt;L192,E192,"Draw")))</f>
        <v/>
      </c>
      <c r="O192" s="18">
        <f>IF(AND(D192="",E192=""),"",IF(AND(L192&lt;&gt;"",M192&lt;&gt;""),"Completed","Scheduled"))</f>
        <v/>
      </c>
    </row>
    <row r="193">
      <c r="A193" s="15" t="n"/>
      <c r="B193" s="16" t="n"/>
      <c r="C193" s="16" t="n"/>
      <c r="D193" s="17" t="n"/>
      <c r="E193" s="17" t="n"/>
      <c r="F193" s="16" t="n"/>
      <c r="G193" s="16" t="n"/>
      <c r="H193" s="16" t="n"/>
      <c r="I193" s="16" t="n"/>
      <c r="J193" s="16" t="n"/>
      <c r="K193" s="16" t="n"/>
      <c r="L193" s="18">
        <f>IF(AND(D193="",E193=""),"",IFERROR(IF(F193&lt;&gt;"",F193,0)+IF(H193&lt;&gt;"",H193,0)+IF(J193&lt;&gt;"",J193,0),""))</f>
        <v/>
      </c>
      <c r="M193" s="18">
        <f>IF(AND(D193="",E193=""),"",IFERROR(IF(G193&lt;&gt;"",G193,0)+IF(I193&lt;&gt;"",I193,0)+IF(K193&lt;&gt;"",K193,0),""))</f>
        <v/>
      </c>
      <c r="N193" s="18">
        <f>IF(OR(L193="",M193=""),"",IF(L193&gt;M193,D193,IF(M193&gt;L193,E193,"Draw")))</f>
        <v/>
      </c>
      <c r="O193" s="18">
        <f>IF(AND(D193="",E193=""),"",IF(AND(L193&lt;&gt;"",M193&lt;&gt;""),"Completed","Scheduled"))</f>
        <v/>
      </c>
    </row>
    <row r="194">
      <c r="A194" s="15" t="n"/>
      <c r="B194" s="16" t="n"/>
      <c r="C194" s="16" t="n"/>
      <c r="D194" s="17" t="n"/>
      <c r="E194" s="17" t="n"/>
      <c r="F194" s="16" t="n"/>
      <c r="G194" s="16" t="n"/>
      <c r="H194" s="16" t="n"/>
      <c r="I194" s="16" t="n"/>
      <c r="J194" s="16" t="n"/>
      <c r="K194" s="16" t="n"/>
      <c r="L194" s="18">
        <f>IF(AND(D194="",E194=""),"",IFERROR(IF(F194&lt;&gt;"",F194,0)+IF(H194&lt;&gt;"",H194,0)+IF(J194&lt;&gt;"",J194,0),""))</f>
        <v/>
      </c>
      <c r="M194" s="18">
        <f>IF(AND(D194="",E194=""),"",IFERROR(IF(G194&lt;&gt;"",G194,0)+IF(I194&lt;&gt;"",I194,0)+IF(K194&lt;&gt;"",K194,0),""))</f>
        <v/>
      </c>
      <c r="N194" s="18">
        <f>IF(OR(L194="",M194=""),"",IF(L194&gt;M194,D194,IF(M194&gt;L194,E194,"Draw")))</f>
        <v/>
      </c>
      <c r="O194" s="18">
        <f>IF(AND(D194="",E194=""),"",IF(AND(L194&lt;&gt;"",M194&lt;&gt;""),"Completed","Scheduled"))</f>
        <v/>
      </c>
    </row>
    <row r="195">
      <c r="A195" s="15" t="n"/>
      <c r="B195" s="16" t="n"/>
      <c r="C195" s="16" t="n"/>
      <c r="D195" s="17" t="n"/>
      <c r="E195" s="17" t="n"/>
      <c r="F195" s="16" t="n"/>
      <c r="G195" s="16" t="n"/>
      <c r="H195" s="16" t="n"/>
      <c r="I195" s="16" t="n"/>
      <c r="J195" s="16" t="n"/>
      <c r="K195" s="16" t="n"/>
      <c r="L195" s="18">
        <f>IF(AND(D195="",E195=""),"",IFERROR(IF(F195&lt;&gt;"",F195,0)+IF(H195&lt;&gt;"",H195,0)+IF(J195&lt;&gt;"",J195,0),""))</f>
        <v/>
      </c>
      <c r="M195" s="18">
        <f>IF(AND(D195="",E195=""),"",IFERROR(IF(G195&lt;&gt;"",G195,0)+IF(I195&lt;&gt;"",I195,0)+IF(K195&lt;&gt;"",K195,0),""))</f>
        <v/>
      </c>
      <c r="N195" s="18">
        <f>IF(OR(L195="",M195=""),"",IF(L195&gt;M195,D195,IF(M195&gt;L195,E195,"Draw")))</f>
        <v/>
      </c>
      <c r="O195" s="18">
        <f>IF(AND(D195="",E195=""),"",IF(AND(L195&lt;&gt;"",M195&lt;&gt;""),"Completed","Scheduled"))</f>
        <v/>
      </c>
    </row>
    <row r="196">
      <c r="A196" s="15" t="n"/>
      <c r="B196" s="16" t="n"/>
      <c r="C196" s="16" t="n"/>
      <c r="D196" s="17" t="n"/>
      <c r="E196" s="17" t="n"/>
      <c r="F196" s="16" t="n"/>
      <c r="G196" s="16" t="n"/>
      <c r="H196" s="16" t="n"/>
      <c r="I196" s="16" t="n"/>
      <c r="J196" s="16" t="n"/>
      <c r="K196" s="16" t="n"/>
      <c r="L196" s="18">
        <f>IF(AND(D196="",E196=""),"",IFERROR(IF(F196&lt;&gt;"",F196,0)+IF(H196&lt;&gt;"",H196,0)+IF(J196&lt;&gt;"",J196,0),""))</f>
        <v/>
      </c>
      <c r="M196" s="18">
        <f>IF(AND(D196="",E196=""),"",IFERROR(IF(G196&lt;&gt;"",G196,0)+IF(I196&lt;&gt;"",I196,0)+IF(K196&lt;&gt;"",K196,0),""))</f>
        <v/>
      </c>
      <c r="N196" s="18">
        <f>IF(OR(L196="",M196=""),"",IF(L196&gt;M196,D196,IF(M196&gt;L196,E196,"Draw")))</f>
        <v/>
      </c>
      <c r="O196" s="18">
        <f>IF(AND(D196="",E196=""),"",IF(AND(L196&lt;&gt;"",M196&lt;&gt;""),"Completed","Scheduled"))</f>
        <v/>
      </c>
    </row>
    <row r="197">
      <c r="A197" s="15" t="n"/>
      <c r="B197" s="16" t="n"/>
      <c r="C197" s="16" t="n"/>
      <c r="D197" s="17" t="n"/>
      <c r="E197" s="17" t="n"/>
      <c r="F197" s="16" t="n"/>
      <c r="G197" s="16" t="n"/>
      <c r="H197" s="16" t="n"/>
      <c r="I197" s="16" t="n"/>
      <c r="J197" s="16" t="n"/>
      <c r="K197" s="16" t="n"/>
      <c r="L197" s="18">
        <f>IF(AND(D197="",E197=""),"",IFERROR(IF(F197&lt;&gt;"",F197,0)+IF(H197&lt;&gt;"",H197,0)+IF(J197&lt;&gt;"",J197,0),""))</f>
        <v/>
      </c>
      <c r="M197" s="18">
        <f>IF(AND(D197="",E197=""),"",IFERROR(IF(G197&lt;&gt;"",G197,0)+IF(I197&lt;&gt;"",I197,0)+IF(K197&lt;&gt;"",K197,0),""))</f>
        <v/>
      </c>
      <c r="N197" s="18">
        <f>IF(OR(L197="",M197=""),"",IF(L197&gt;M197,D197,IF(M197&gt;L197,E197,"Draw")))</f>
        <v/>
      </c>
      <c r="O197" s="18">
        <f>IF(AND(D197="",E197=""),"",IF(AND(L197&lt;&gt;"",M197&lt;&gt;""),"Completed","Scheduled"))</f>
        <v/>
      </c>
    </row>
    <row r="198">
      <c r="A198" s="15" t="n"/>
      <c r="B198" s="16" t="n"/>
      <c r="C198" s="16" t="n"/>
      <c r="D198" s="17" t="n"/>
      <c r="E198" s="17" t="n"/>
      <c r="F198" s="16" t="n"/>
      <c r="G198" s="16" t="n"/>
      <c r="H198" s="16" t="n"/>
      <c r="I198" s="16" t="n"/>
      <c r="J198" s="16" t="n"/>
      <c r="K198" s="16" t="n"/>
      <c r="L198" s="18">
        <f>IF(AND(D198="",E198=""),"",IFERROR(IF(F198&lt;&gt;"",F198,0)+IF(H198&lt;&gt;"",H198,0)+IF(J198&lt;&gt;"",J198,0),""))</f>
        <v/>
      </c>
      <c r="M198" s="18">
        <f>IF(AND(D198="",E198=""),"",IFERROR(IF(G198&lt;&gt;"",G198,0)+IF(I198&lt;&gt;"",I198,0)+IF(K198&lt;&gt;"",K198,0),""))</f>
        <v/>
      </c>
      <c r="N198" s="18">
        <f>IF(OR(L198="",M198=""),"",IF(L198&gt;M198,D198,IF(M198&gt;L198,E198,"Draw")))</f>
        <v/>
      </c>
      <c r="O198" s="18">
        <f>IF(AND(D198="",E198=""),"",IF(AND(L198&lt;&gt;"",M198&lt;&gt;""),"Completed","Scheduled"))</f>
        <v/>
      </c>
    </row>
    <row r="199">
      <c r="A199" s="15" t="n"/>
      <c r="B199" s="16" t="n"/>
      <c r="C199" s="16" t="n"/>
      <c r="D199" s="17" t="n"/>
      <c r="E199" s="17" t="n"/>
      <c r="F199" s="16" t="n"/>
      <c r="G199" s="16" t="n"/>
      <c r="H199" s="16" t="n"/>
      <c r="I199" s="16" t="n"/>
      <c r="J199" s="16" t="n"/>
      <c r="K199" s="16" t="n"/>
      <c r="L199" s="18">
        <f>IF(AND(D199="",E199=""),"",IFERROR(IF(F199&lt;&gt;"",F199,0)+IF(H199&lt;&gt;"",H199,0)+IF(J199&lt;&gt;"",J199,0),""))</f>
        <v/>
      </c>
      <c r="M199" s="18">
        <f>IF(AND(D199="",E199=""),"",IFERROR(IF(G199&lt;&gt;"",G199,0)+IF(I199&lt;&gt;"",I199,0)+IF(K199&lt;&gt;"",K199,0),""))</f>
        <v/>
      </c>
      <c r="N199" s="18">
        <f>IF(OR(L199="",M199=""),"",IF(L199&gt;M199,D199,IF(M199&gt;L199,E199,"Draw")))</f>
        <v/>
      </c>
      <c r="O199" s="18">
        <f>IF(AND(D199="",E199=""),"",IF(AND(L199&lt;&gt;"",M199&lt;&gt;""),"Completed","Scheduled"))</f>
        <v/>
      </c>
    </row>
    <row r="200">
      <c r="A200" s="15" t="n"/>
      <c r="B200" s="16" t="n"/>
      <c r="C200" s="16" t="n"/>
      <c r="D200" s="17" t="n"/>
      <c r="E200" s="17" t="n"/>
      <c r="F200" s="16" t="n"/>
      <c r="G200" s="16" t="n"/>
      <c r="H200" s="16" t="n"/>
      <c r="I200" s="16" t="n"/>
      <c r="J200" s="16" t="n"/>
      <c r="K200" s="16" t="n"/>
      <c r="L200" s="18">
        <f>IF(AND(D200="",E200=""),"",IFERROR(IF(F200&lt;&gt;"",F200,0)+IF(H200&lt;&gt;"",H200,0)+IF(J200&lt;&gt;"",J200,0),""))</f>
        <v/>
      </c>
      <c r="M200" s="18">
        <f>IF(AND(D200="",E200=""),"",IFERROR(IF(G200&lt;&gt;"",G200,0)+IF(I200&lt;&gt;"",I200,0)+IF(K200&lt;&gt;"",K200,0),""))</f>
        <v/>
      </c>
      <c r="N200" s="18">
        <f>IF(OR(L200="",M200=""),"",IF(L200&gt;M200,D200,IF(M200&gt;L200,E200,"Draw")))</f>
        <v/>
      </c>
      <c r="O200" s="18">
        <f>IF(AND(D200="",E200=""),"",IF(AND(L200&lt;&gt;"",M200&lt;&gt;""),"Completed","Scheduled"))</f>
        <v/>
      </c>
    </row>
    <row r="201">
      <c r="A201" s="15" t="n"/>
      <c r="B201" s="16" t="n"/>
      <c r="C201" s="16" t="n"/>
      <c r="D201" s="17" t="n"/>
      <c r="E201" s="17" t="n"/>
      <c r="F201" s="16" t="n"/>
      <c r="G201" s="16" t="n"/>
      <c r="H201" s="16" t="n"/>
      <c r="I201" s="16" t="n"/>
      <c r="J201" s="16" t="n"/>
      <c r="K201" s="16" t="n"/>
      <c r="L201" s="18">
        <f>IF(AND(D201="",E201=""),"",IFERROR(IF(F201&lt;&gt;"",F201,0)+IF(H201&lt;&gt;"",H201,0)+IF(J201&lt;&gt;"",J201,0),""))</f>
        <v/>
      </c>
      <c r="M201" s="18">
        <f>IF(AND(D201="",E201=""),"",IFERROR(IF(G201&lt;&gt;"",G201,0)+IF(I201&lt;&gt;"",I201,0)+IF(K201&lt;&gt;"",K201,0),""))</f>
        <v/>
      </c>
      <c r="N201" s="18">
        <f>IF(OR(L201="",M201=""),"",IF(L201&gt;M201,D201,IF(M201&gt;L201,E201,"Draw")))</f>
        <v/>
      </c>
      <c r="O201" s="18">
        <f>IF(AND(D201="",E201=""),"",IF(AND(L201&lt;&gt;"",M201&lt;&gt;""),"Completed","Scheduled"))</f>
        <v/>
      </c>
    </row>
    <row r="202">
      <c r="A202" s="15" t="n"/>
      <c r="B202" s="16" t="n"/>
      <c r="C202" s="16" t="n"/>
      <c r="D202" s="17" t="n"/>
      <c r="E202" s="17" t="n"/>
      <c r="F202" s="16" t="n"/>
      <c r="G202" s="16" t="n"/>
      <c r="H202" s="16" t="n"/>
      <c r="I202" s="16" t="n"/>
      <c r="J202" s="16" t="n"/>
      <c r="K202" s="16" t="n"/>
      <c r="L202" s="18">
        <f>IF(AND(D202="",E202=""),"",IFERROR(IF(F202&lt;&gt;"",F202,0)+IF(H202&lt;&gt;"",H202,0)+IF(J202&lt;&gt;"",J202,0),""))</f>
        <v/>
      </c>
      <c r="M202" s="18">
        <f>IF(AND(D202="",E202=""),"",IFERROR(IF(G202&lt;&gt;"",G202,0)+IF(I202&lt;&gt;"",I202,0)+IF(K202&lt;&gt;"",K202,0),""))</f>
        <v/>
      </c>
      <c r="N202" s="18">
        <f>IF(OR(L202="",M202=""),"",IF(L202&gt;M202,D202,IF(M202&gt;L202,E202,"Draw")))</f>
        <v/>
      </c>
      <c r="O202" s="18">
        <f>IF(AND(D202="",E202=""),"",IF(AND(L202&lt;&gt;"",M202&lt;&gt;""),"Completed","Scheduled"))</f>
        <v/>
      </c>
    </row>
    <row r="203">
      <c r="A203" s="15" t="n"/>
      <c r="B203" s="16" t="n"/>
      <c r="C203" s="16" t="n"/>
      <c r="D203" s="17" t="n"/>
      <c r="E203" s="17" t="n"/>
      <c r="F203" s="16" t="n"/>
      <c r="G203" s="16" t="n"/>
      <c r="H203" s="16" t="n"/>
      <c r="I203" s="16" t="n"/>
      <c r="J203" s="16" t="n"/>
      <c r="K203" s="16" t="n"/>
      <c r="L203" s="18">
        <f>IF(AND(D203="",E203=""),"",IFERROR(IF(F203&lt;&gt;"",F203,0)+IF(H203&lt;&gt;"",H203,0)+IF(J203&lt;&gt;"",J203,0),""))</f>
        <v/>
      </c>
      <c r="M203" s="18">
        <f>IF(AND(D203="",E203=""),"",IFERROR(IF(G203&lt;&gt;"",G203,0)+IF(I203&lt;&gt;"",I203,0)+IF(K203&lt;&gt;"",K203,0),""))</f>
        <v/>
      </c>
      <c r="N203" s="18">
        <f>IF(OR(L203="",M203=""),"",IF(L203&gt;M203,D203,IF(M203&gt;L203,E203,"Draw")))</f>
        <v/>
      </c>
      <c r="O203" s="18">
        <f>IF(AND(D203="",E203=""),"",IF(AND(L203&lt;&gt;"",M203&lt;&gt;""),"Completed","Scheduled"))</f>
        <v/>
      </c>
    </row>
    <row r="204">
      <c r="A204" s="15" t="n"/>
      <c r="B204" s="16" t="n"/>
      <c r="C204" s="16" t="n"/>
      <c r="D204" s="17" t="n"/>
      <c r="E204" s="17" t="n"/>
      <c r="F204" s="16" t="n"/>
      <c r="G204" s="16" t="n"/>
      <c r="H204" s="16" t="n"/>
      <c r="I204" s="16" t="n"/>
      <c r="J204" s="16" t="n"/>
      <c r="K204" s="16" t="n"/>
      <c r="L204" s="18">
        <f>IF(AND(D204="",E204=""),"",IFERROR(IF(F204&lt;&gt;"",F204,0)+IF(H204&lt;&gt;"",H204,0)+IF(J204&lt;&gt;"",J204,0),""))</f>
        <v/>
      </c>
      <c r="M204" s="18">
        <f>IF(AND(D204="",E204=""),"",IFERROR(IF(G204&lt;&gt;"",G204,0)+IF(I204&lt;&gt;"",I204,0)+IF(K204&lt;&gt;"",K204,0),""))</f>
        <v/>
      </c>
      <c r="N204" s="18">
        <f>IF(OR(L204="",M204=""),"",IF(L204&gt;M204,D204,IF(M204&gt;L204,E204,"Draw")))</f>
        <v/>
      </c>
      <c r="O204" s="18">
        <f>IF(AND(D204="",E204=""),"",IF(AND(L204&lt;&gt;"",M204&lt;&gt;""),"Completed","Scheduled"))</f>
        <v/>
      </c>
    </row>
    <row r="205">
      <c r="A205" s="15" t="n"/>
      <c r="B205" s="16" t="n"/>
      <c r="C205" s="16" t="n"/>
      <c r="D205" s="17" t="n"/>
      <c r="E205" s="17" t="n"/>
      <c r="F205" s="16" t="n"/>
      <c r="G205" s="16" t="n"/>
      <c r="H205" s="16" t="n"/>
      <c r="I205" s="16" t="n"/>
      <c r="J205" s="16" t="n"/>
      <c r="K205" s="16" t="n"/>
      <c r="L205" s="18">
        <f>IF(AND(D205="",E205=""),"",IFERROR(IF(F205&lt;&gt;"",F205,0)+IF(H205&lt;&gt;"",H205,0)+IF(J205&lt;&gt;"",J205,0),""))</f>
        <v/>
      </c>
      <c r="M205" s="18">
        <f>IF(AND(D205="",E205=""),"",IFERROR(IF(G205&lt;&gt;"",G205,0)+IF(I205&lt;&gt;"",I205,0)+IF(K205&lt;&gt;"",K205,0),""))</f>
        <v/>
      </c>
      <c r="N205" s="18">
        <f>IF(OR(L205="",M205=""),"",IF(L205&gt;M205,D205,IF(M205&gt;L205,E205,"Draw")))</f>
        <v/>
      </c>
      <c r="O205" s="18">
        <f>IF(AND(D205="",E205=""),"",IF(AND(L205&lt;&gt;"",M205&lt;&gt;""),"Completed","Scheduled"))</f>
        <v/>
      </c>
    </row>
    <row r="206">
      <c r="A206" s="15" t="n"/>
      <c r="B206" s="16" t="n"/>
      <c r="C206" s="16" t="n"/>
      <c r="D206" s="17" t="n"/>
      <c r="E206" s="17" t="n"/>
      <c r="F206" s="16" t="n"/>
      <c r="G206" s="16" t="n"/>
      <c r="H206" s="16" t="n"/>
      <c r="I206" s="16" t="n"/>
      <c r="J206" s="16" t="n"/>
      <c r="K206" s="16" t="n"/>
      <c r="L206" s="18">
        <f>IF(AND(D206="",E206=""),"",IFERROR(IF(F206&lt;&gt;"",F206,0)+IF(H206&lt;&gt;"",H206,0)+IF(J206&lt;&gt;"",J206,0),""))</f>
        <v/>
      </c>
      <c r="M206" s="18">
        <f>IF(AND(D206="",E206=""),"",IFERROR(IF(G206&lt;&gt;"",G206,0)+IF(I206&lt;&gt;"",I206,0)+IF(K206&lt;&gt;"",K206,0),""))</f>
        <v/>
      </c>
      <c r="N206" s="18">
        <f>IF(OR(L206="",M206=""),"",IF(L206&gt;M206,D206,IF(M206&gt;L206,E206,"Draw")))</f>
        <v/>
      </c>
      <c r="O206" s="18">
        <f>IF(AND(D206="",E206=""),"",IF(AND(L206&lt;&gt;"",M206&lt;&gt;""),"Completed","Scheduled"))</f>
        <v/>
      </c>
    </row>
    <row r="207">
      <c r="A207" s="15" t="n"/>
      <c r="B207" s="16" t="n"/>
      <c r="C207" s="16" t="n"/>
      <c r="D207" s="17" t="n"/>
      <c r="E207" s="17" t="n"/>
      <c r="F207" s="16" t="n"/>
      <c r="G207" s="16" t="n"/>
      <c r="H207" s="16" t="n"/>
      <c r="I207" s="16" t="n"/>
      <c r="J207" s="16" t="n"/>
      <c r="K207" s="16" t="n"/>
      <c r="L207" s="18">
        <f>IF(AND(D207="",E207=""),"",IFERROR(IF(F207&lt;&gt;"",F207,0)+IF(H207&lt;&gt;"",H207,0)+IF(J207&lt;&gt;"",J207,0),""))</f>
        <v/>
      </c>
      <c r="M207" s="18">
        <f>IF(AND(D207="",E207=""),"",IFERROR(IF(G207&lt;&gt;"",G207,0)+IF(I207&lt;&gt;"",I207,0)+IF(K207&lt;&gt;"",K207,0),""))</f>
        <v/>
      </c>
      <c r="N207" s="18">
        <f>IF(OR(L207="",M207=""),"",IF(L207&gt;M207,D207,IF(M207&gt;L207,E207,"Draw")))</f>
        <v/>
      </c>
      <c r="O207" s="18">
        <f>IF(AND(D207="",E207=""),"",IF(AND(L207&lt;&gt;"",M207&lt;&gt;""),"Completed","Scheduled"))</f>
        <v/>
      </c>
    </row>
    <row r="208">
      <c r="A208" s="15" t="n"/>
      <c r="B208" s="16" t="n"/>
      <c r="C208" s="16" t="n"/>
      <c r="D208" s="17" t="n"/>
      <c r="E208" s="17" t="n"/>
      <c r="F208" s="16" t="n"/>
      <c r="G208" s="16" t="n"/>
      <c r="H208" s="16" t="n"/>
      <c r="I208" s="16" t="n"/>
      <c r="J208" s="16" t="n"/>
      <c r="K208" s="16" t="n"/>
      <c r="L208" s="18">
        <f>IF(AND(D208="",E208=""),"",IFERROR(IF(F208&lt;&gt;"",F208,0)+IF(H208&lt;&gt;"",H208,0)+IF(J208&lt;&gt;"",J208,0),""))</f>
        <v/>
      </c>
      <c r="M208" s="18">
        <f>IF(AND(D208="",E208=""),"",IFERROR(IF(G208&lt;&gt;"",G208,0)+IF(I208&lt;&gt;"",I208,0)+IF(K208&lt;&gt;"",K208,0),""))</f>
        <v/>
      </c>
      <c r="N208" s="18">
        <f>IF(OR(L208="",M208=""),"",IF(L208&gt;M208,D208,IF(M208&gt;L208,E208,"Draw")))</f>
        <v/>
      </c>
      <c r="O208" s="18">
        <f>IF(AND(D208="",E208=""),"",IF(AND(L208&lt;&gt;"",M208&lt;&gt;""),"Completed","Scheduled"))</f>
        <v/>
      </c>
    </row>
    <row r="209">
      <c r="A209" s="15" t="n"/>
      <c r="B209" s="16" t="n"/>
      <c r="C209" s="16" t="n"/>
      <c r="D209" s="17" t="n"/>
      <c r="E209" s="17" t="n"/>
      <c r="F209" s="16" t="n"/>
      <c r="G209" s="16" t="n"/>
      <c r="H209" s="16" t="n"/>
      <c r="I209" s="16" t="n"/>
      <c r="J209" s="16" t="n"/>
      <c r="K209" s="16" t="n"/>
      <c r="L209" s="18">
        <f>IF(AND(D209="",E209=""),"",IFERROR(IF(F209&lt;&gt;"",F209,0)+IF(H209&lt;&gt;"",H209,0)+IF(J209&lt;&gt;"",J209,0),""))</f>
        <v/>
      </c>
      <c r="M209" s="18">
        <f>IF(AND(D209="",E209=""),"",IFERROR(IF(G209&lt;&gt;"",G209,0)+IF(I209&lt;&gt;"",I209,0)+IF(K209&lt;&gt;"",K209,0),""))</f>
        <v/>
      </c>
      <c r="N209" s="18">
        <f>IF(OR(L209="",M209=""),"",IF(L209&gt;M209,D209,IF(M209&gt;L209,E209,"Draw")))</f>
        <v/>
      </c>
      <c r="O209" s="18">
        <f>IF(AND(D209="",E209=""),"",IF(AND(L209&lt;&gt;"",M209&lt;&gt;""),"Completed","Scheduled"))</f>
        <v/>
      </c>
    </row>
    <row r="210">
      <c r="A210" s="15" t="n"/>
      <c r="B210" s="16" t="n"/>
      <c r="C210" s="16" t="n"/>
      <c r="D210" s="17" t="n"/>
      <c r="E210" s="17" t="n"/>
      <c r="F210" s="16" t="n"/>
      <c r="G210" s="16" t="n"/>
      <c r="H210" s="16" t="n"/>
      <c r="I210" s="16" t="n"/>
      <c r="J210" s="16" t="n"/>
      <c r="K210" s="16" t="n"/>
      <c r="L210" s="18">
        <f>IF(AND(D210="",E210=""),"",IFERROR(IF(F210&lt;&gt;"",F210,0)+IF(H210&lt;&gt;"",H210,0)+IF(J210&lt;&gt;"",J210,0),""))</f>
        <v/>
      </c>
      <c r="M210" s="18">
        <f>IF(AND(D210="",E210=""),"",IFERROR(IF(G210&lt;&gt;"",G210,0)+IF(I210&lt;&gt;"",I210,0)+IF(K210&lt;&gt;"",K210,0),""))</f>
        <v/>
      </c>
      <c r="N210" s="18">
        <f>IF(OR(L210="",M210=""),"",IF(L210&gt;M210,D210,IF(M210&gt;L210,E210,"Draw")))</f>
        <v/>
      </c>
      <c r="O210" s="18">
        <f>IF(AND(D210="",E210=""),"",IF(AND(L210&lt;&gt;"",M210&lt;&gt;""),"Completed","Scheduled"))</f>
        <v/>
      </c>
    </row>
    <row r="211">
      <c r="A211" s="15" t="n"/>
      <c r="B211" s="16" t="n"/>
      <c r="C211" s="16" t="n"/>
      <c r="D211" s="17" t="n"/>
      <c r="E211" s="17" t="n"/>
      <c r="F211" s="16" t="n"/>
      <c r="G211" s="16" t="n"/>
      <c r="H211" s="16" t="n"/>
      <c r="I211" s="16" t="n"/>
      <c r="J211" s="16" t="n"/>
      <c r="K211" s="16" t="n"/>
      <c r="L211" s="18">
        <f>IF(AND(D211="",E211=""),"",IFERROR(IF(F211&lt;&gt;"",F211,0)+IF(H211&lt;&gt;"",H211,0)+IF(J211&lt;&gt;"",J211,0),""))</f>
        <v/>
      </c>
      <c r="M211" s="18">
        <f>IF(AND(D211="",E211=""),"",IFERROR(IF(G211&lt;&gt;"",G211,0)+IF(I211&lt;&gt;"",I211,0)+IF(K211&lt;&gt;"",K211,0),""))</f>
        <v/>
      </c>
      <c r="N211" s="18">
        <f>IF(OR(L211="",M211=""),"",IF(L211&gt;M211,D211,IF(M211&gt;L211,E211,"Draw")))</f>
        <v/>
      </c>
      <c r="O211" s="18">
        <f>IF(AND(D211="",E211=""),"",IF(AND(L211&lt;&gt;"",M211&lt;&gt;""),"Completed","Scheduled"))</f>
        <v/>
      </c>
    </row>
    <row r="212">
      <c r="A212" s="15" t="n"/>
      <c r="B212" s="16" t="n"/>
      <c r="C212" s="16" t="n"/>
      <c r="D212" s="17" t="n"/>
      <c r="E212" s="17" t="n"/>
      <c r="F212" s="16" t="n"/>
      <c r="G212" s="16" t="n"/>
      <c r="H212" s="16" t="n"/>
      <c r="I212" s="16" t="n"/>
      <c r="J212" s="16" t="n"/>
      <c r="K212" s="16" t="n"/>
      <c r="L212" s="18">
        <f>IF(AND(D212="",E212=""),"",IFERROR(IF(F212&lt;&gt;"",F212,0)+IF(H212&lt;&gt;"",H212,0)+IF(J212&lt;&gt;"",J212,0),""))</f>
        <v/>
      </c>
      <c r="M212" s="18">
        <f>IF(AND(D212="",E212=""),"",IFERROR(IF(G212&lt;&gt;"",G212,0)+IF(I212&lt;&gt;"",I212,0)+IF(K212&lt;&gt;"",K212,0),""))</f>
        <v/>
      </c>
      <c r="N212" s="18">
        <f>IF(OR(L212="",M212=""),"",IF(L212&gt;M212,D212,IF(M212&gt;L212,E212,"Draw")))</f>
        <v/>
      </c>
      <c r="O212" s="18">
        <f>IF(AND(D212="",E212=""),"",IF(AND(L212&lt;&gt;"",M212&lt;&gt;""),"Completed","Scheduled"))</f>
        <v/>
      </c>
    </row>
    <row r="213">
      <c r="A213" s="15" t="n"/>
      <c r="B213" s="16" t="n"/>
      <c r="C213" s="16" t="n"/>
      <c r="D213" s="17" t="n"/>
      <c r="E213" s="17" t="n"/>
      <c r="F213" s="16" t="n"/>
      <c r="G213" s="16" t="n"/>
      <c r="H213" s="16" t="n"/>
      <c r="I213" s="16" t="n"/>
      <c r="J213" s="16" t="n"/>
      <c r="K213" s="16" t="n"/>
      <c r="L213" s="18">
        <f>IF(AND(D213="",E213=""),"",IFERROR(IF(F213&lt;&gt;"",F213,0)+IF(H213&lt;&gt;"",H213,0)+IF(J213&lt;&gt;"",J213,0),""))</f>
        <v/>
      </c>
      <c r="M213" s="18">
        <f>IF(AND(D213="",E213=""),"",IFERROR(IF(G213&lt;&gt;"",G213,0)+IF(I213&lt;&gt;"",I213,0)+IF(K213&lt;&gt;"",K213,0),""))</f>
        <v/>
      </c>
      <c r="N213" s="18">
        <f>IF(OR(L213="",M213=""),"",IF(L213&gt;M213,D213,IF(M213&gt;L213,E213,"Draw")))</f>
        <v/>
      </c>
      <c r="O213" s="18">
        <f>IF(AND(D213="",E213=""),"",IF(AND(L213&lt;&gt;"",M213&lt;&gt;""),"Completed","Scheduled"))</f>
        <v/>
      </c>
    </row>
    <row r="214">
      <c r="A214" s="15" t="n"/>
      <c r="B214" s="16" t="n"/>
      <c r="C214" s="16" t="n"/>
      <c r="D214" s="17" t="n"/>
      <c r="E214" s="17" t="n"/>
      <c r="F214" s="16" t="n"/>
      <c r="G214" s="16" t="n"/>
      <c r="H214" s="16" t="n"/>
      <c r="I214" s="16" t="n"/>
      <c r="J214" s="16" t="n"/>
      <c r="K214" s="16" t="n"/>
      <c r="L214" s="18">
        <f>IF(AND(D214="",E214=""),"",IFERROR(IF(F214&lt;&gt;"",F214,0)+IF(H214&lt;&gt;"",H214,0)+IF(J214&lt;&gt;"",J214,0),""))</f>
        <v/>
      </c>
      <c r="M214" s="18">
        <f>IF(AND(D214="",E214=""),"",IFERROR(IF(G214&lt;&gt;"",G214,0)+IF(I214&lt;&gt;"",I214,0)+IF(K214&lt;&gt;"",K214,0),""))</f>
        <v/>
      </c>
      <c r="N214" s="18">
        <f>IF(OR(L214="",M214=""),"",IF(L214&gt;M214,D214,IF(M214&gt;L214,E214,"Draw")))</f>
        <v/>
      </c>
      <c r="O214" s="18">
        <f>IF(AND(D214="",E214=""),"",IF(AND(L214&lt;&gt;"",M214&lt;&gt;""),"Completed","Scheduled"))</f>
        <v/>
      </c>
    </row>
    <row r="215">
      <c r="A215" s="15" t="n"/>
      <c r="B215" s="16" t="n"/>
      <c r="C215" s="16" t="n"/>
      <c r="D215" s="17" t="n"/>
      <c r="E215" s="17" t="n"/>
      <c r="F215" s="16" t="n"/>
      <c r="G215" s="16" t="n"/>
      <c r="H215" s="16" t="n"/>
      <c r="I215" s="16" t="n"/>
      <c r="J215" s="16" t="n"/>
      <c r="K215" s="16" t="n"/>
      <c r="L215" s="18">
        <f>IF(AND(D215="",E215=""),"",IFERROR(IF(F215&lt;&gt;"",F215,0)+IF(H215&lt;&gt;"",H215,0)+IF(J215&lt;&gt;"",J215,0),""))</f>
        <v/>
      </c>
      <c r="M215" s="18">
        <f>IF(AND(D215="",E215=""),"",IFERROR(IF(G215&lt;&gt;"",G215,0)+IF(I215&lt;&gt;"",I215,0)+IF(K215&lt;&gt;"",K215,0),""))</f>
        <v/>
      </c>
      <c r="N215" s="18">
        <f>IF(OR(L215="",M215=""),"",IF(L215&gt;M215,D215,IF(M215&gt;L215,E215,"Draw")))</f>
        <v/>
      </c>
      <c r="O215" s="18">
        <f>IF(AND(D215="",E215=""),"",IF(AND(L215&lt;&gt;"",M215&lt;&gt;""),"Completed","Scheduled"))</f>
        <v/>
      </c>
    </row>
    <row r="216">
      <c r="A216" s="15" t="n"/>
      <c r="B216" s="16" t="n"/>
      <c r="C216" s="16" t="n"/>
      <c r="D216" s="17" t="n"/>
      <c r="E216" s="17" t="n"/>
      <c r="F216" s="16" t="n"/>
      <c r="G216" s="16" t="n"/>
      <c r="H216" s="16" t="n"/>
      <c r="I216" s="16" t="n"/>
      <c r="J216" s="16" t="n"/>
      <c r="K216" s="16" t="n"/>
      <c r="L216" s="18">
        <f>IF(AND(D216="",E216=""),"",IFERROR(IF(F216&lt;&gt;"",F216,0)+IF(H216&lt;&gt;"",H216,0)+IF(J216&lt;&gt;"",J216,0),""))</f>
        <v/>
      </c>
      <c r="M216" s="18">
        <f>IF(AND(D216="",E216=""),"",IFERROR(IF(G216&lt;&gt;"",G216,0)+IF(I216&lt;&gt;"",I216,0)+IF(K216&lt;&gt;"",K216,0),""))</f>
        <v/>
      </c>
      <c r="N216" s="18">
        <f>IF(OR(L216="",M216=""),"",IF(L216&gt;M216,D216,IF(M216&gt;L216,E216,"Draw")))</f>
        <v/>
      </c>
      <c r="O216" s="18">
        <f>IF(AND(D216="",E216=""),"",IF(AND(L216&lt;&gt;"",M216&lt;&gt;""),"Completed","Scheduled"))</f>
        <v/>
      </c>
    </row>
    <row r="217">
      <c r="A217" s="15" t="n"/>
      <c r="B217" s="16" t="n"/>
      <c r="C217" s="16" t="n"/>
      <c r="D217" s="17" t="n"/>
      <c r="E217" s="17" t="n"/>
      <c r="F217" s="16" t="n"/>
      <c r="G217" s="16" t="n"/>
      <c r="H217" s="16" t="n"/>
      <c r="I217" s="16" t="n"/>
      <c r="J217" s="16" t="n"/>
      <c r="K217" s="16" t="n"/>
      <c r="L217" s="18">
        <f>IF(AND(D217="",E217=""),"",IFERROR(IF(F217&lt;&gt;"",F217,0)+IF(H217&lt;&gt;"",H217,0)+IF(J217&lt;&gt;"",J217,0),""))</f>
        <v/>
      </c>
      <c r="M217" s="18">
        <f>IF(AND(D217="",E217=""),"",IFERROR(IF(G217&lt;&gt;"",G217,0)+IF(I217&lt;&gt;"",I217,0)+IF(K217&lt;&gt;"",K217,0),""))</f>
        <v/>
      </c>
      <c r="N217" s="18">
        <f>IF(OR(L217="",M217=""),"",IF(L217&gt;M217,D217,IF(M217&gt;L217,E217,"Draw")))</f>
        <v/>
      </c>
      <c r="O217" s="18">
        <f>IF(AND(D217="",E217=""),"",IF(AND(L217&lt;&gt;"",M217&lt;&gt;""),"Completed","Scheduled"))</f>
        <v/>
      </c>
    </row>
    <row r="218">
      <c r="A218" s="15" t="n"/>
      <c r="B218" s="16" t="n"/>
      <c r="C218" s="16" t="n"/>
      <c r="D218" s="17" t="n"/>
      <c r="E218" s="17" t="n"/>
      <c r="F218" s="16" t="n"/>
      <c r="G218" s="16" t="n"/>
      <c r="H218" s="16" t="n"/>
      <c r="I218" s="16" t="n"/>
      <c r="J218" s="16" t="n"/>
      <c r="K218" s="16" t="n"/>
      <c r="L218" s="18">
        <f>IF(AND(D218="",E218=""),"",IFERROR(IF(F218&lt;&gt;"",F218,0)+IF(H218&lt;&gt;"",H218,0)+IF(J218&lt;&gt;"",J218,0),""))</f>
        <v/>
      </c>
      <c r="M218" s="18">
        <f>IF(AND(D218="",E218=""),"",IFERROR(IF(G218&lt;&gt;"",G218,0)+IF(I218&lt;&gt;"",I218,0)+IF(K218&lt;&gt;"",K218,0),""))</f>
        <v/>
      </c>
      <c r="N218" s="18">
        <f>IF(OR(L218="",M218=""),"",IF(L218&gt;M218,D218,IF(M218&gt;L218,E218,"Draw")))</f>
        <v/>
      </c>
      <c r="O218" s="18">
        <f>IF(AND(D218="",E218=""),"",IF(AND(L218&lt;&gt;"",M218&lt;&gt;""),"Completed","Scheduled"))</f>
        <v/>
      </c>
    </row>
    <row r="219">
      <c r="A219" s="15" t="n"/>
      <c r="B219" s="16" t="n"/>
      <c r="C219" s="16" t="n"/>
      <c r="D219" s="17" t="n"/>
      <c r="E219" s="17" t="n"/>
      <c r="F219" s="16" t="n"/>
      <c r="G219" s="16" t="n"/>
      <c r="H219" s="16" t="n"/>
      <c r="I219" s="16" t="n"/>
      <c r="J219" s="16" t="n"/>
      <c r="K219" s="16" t="n"/>
      <c r="L219" s="18">
        <f>IF(AND(D219="",E219=""),"",IFERROR(IF(F219&lt;&gt;"",F219,0)+IF(H219&lt;&gt;"",H219,0)+IF(J219&lt;&gt;"",J219,0),""))</f>
        <v/>
      </c>
      <c r="M219" s="18">
        <f>IF(AND(D219="",E219=""),"",IFERROR(IF(G219&lt;&gt;"",G219,0)+IF(I219&lt;&gt;"",I219,0)+IF(K219&lt;&gt;"",K219,0),""))</f>
        <v/>
      </c>
      <c r="N219" s="18">
        <f>IF(OR(L219="",M219=""),"",IF(L219&gt;M219,D219,IF(M219&gt;L219,E219,"Draw")))</f>
        <v/>
      </c>
      <c r="O219" s="18">
        <f>IF(AND(D219="",E219=""),"",IF(AND(L219&lt;&gt;"",M219&lt;&gt;""),"Completed","Scheduled"))</f>
        <v/>
      </c>
    </row>
    <row r="220">
      <c r="A220" s="15" t="n"/>
      <c r="B220" s="16" t="n"/>
      <c r="C220" s="16" t="n"/>
      <c r="D220" s="17" t="n"/>
      <c r="E220" s="17" t="n"/>
      <c r="F220" s="16" t="n"/>
      <c r="G220" s="16" t="n"/>
      <c r="H220" s="16" t="n"/>
      <c r="I220" s="16" t="n"/>
      <c r="J220" s="16" t="n"/>
      <c r="K220" s="16" t="n"/>
      <c r="L220" s="18">
        <f>IF(AND(D220="",E220=""),"",IFERROR(IF(F220&lt;&gt;"",F220,0)+IF(H220&lt;&gt;"",H220,0)+IF(J220&lt;&gt;"",J220,0),""))</f>
        <v/>
      </c>
      <c r="M220" s="18">
        <f>IF(AND(D220="",E220=""),"",IFERROR(IF(G220&lt;&gt;"",G220,0)+IF(I220&lt;&gt;"",I220,0)+IF(K220&lt;&gt;"",K220,0),""))</f>
        <v/>
      </c>
      <c r="N220" s="18">
        <f>IF(OR(L220="",M220=""),"",IF(L220&gt;M220,D220,IF(M220&gt;L220,E220,"Draw")))</f>
        <v/>
      </c>
      <c r="O220" s="18">
        <f>IF(AND(D220="",E220=""),"",IF(AND(L220&lt;&gt;"",M220&lt;&gt;""),"Completed","Scheduled"))</f>
        <v/>
      </c>
    </row>
    <row r="221">
      <c r="A221" s="15" t="n"/>
      <c r="B221" s="16" t="n"/>
      <c r="C221" s="16" t="n"/>
      <c r="D221" s="17" t="n"/>
      <c r="E221" s="17" t="n"/>
      <c r="F221" s="16" t="n"/>
      <c r="G221" s="16" t="n"/>
      <c r="H221" s="16" t="n"/>
      <c r="I221" s="16" t="n"/>
      <c r="J221" s="16" t="n"/>
      <c r="K221" s="16" t="n"/>
      <c r="L221" s="18">
        <f>IF(AND(D221="",E221=""),"",IFERROR(IF(F221&lt;&gt;"",F221,0)+IF(H221&lt;&gt;"",H221,0)+IF(J221&lt;&gt;"",J221,0),""))</f>
        <v/>
      </c>
      <c r="M221" s="18">
        <f>IF(AND(D221="",E221=""),"",IFERROR(IF(G221&lt;&gt;"",G221,0)+IF(I221&lt;&gt;"",I221,0)+IF(K221&lt;&gt;"",K221,0),""))</f>
        <v/>
      </c>
      <c r="N221" s="18">
        <f>IF(OR(L221="",M221=""),"",IF(L221&gt;M221,D221,IF(M221&gt;L221,E221,"Draw")))</f>
        <v/>
      </c>
      <c r="O221" s="18">
        <f>IF(AND(D221="",E221=""),"",IF(AND(L221&lt;&gt;"",M221&lt;&gt;""),"Completed","Scheduled"))</f>
        <v/>
      </c>
    </row>
    <row r="222">
      <c r="A222" s="15" t="n"/>
      <c r="B222" s="16" t="n"/>
      <c r="C222" s="16" t="n"/>
      <c r="D222" s="17" t="n"/>
      <c r="E222" s="17" t="n"/>
      <c r="F222" s="16" t="n"/>
      <c r="G222" s="16" t="n"/>
      <c r="H222" s="16" t="n"/>
      <c r="I222" s="16" t="n"/>
      <c r="J222" s="16" t="n"/>
      <c r="K222" s="16" t="n"/>
      <c r="L222" s="18">
        <f>IF(AND(D222="",E222=""),"",IFERROR(IF(F222&lt;&gt;"",F222,0)+IF(H222&lt;&gt;"",H222,0)+IF(J222&lt;&gt;"",J222,0),""))</f>
        <v/>
      </c>
      <c r="M222" s="18">
        <f>IF(AND(D222="",E222=""),"",IFERROR(IF(G222&lt;&gt;"",G222,0)+IF(I222&lt;&gt;"",I222,0)+IF(K222&lt;&gt;"",K222,0),""))</f>
        <v/>
      </c>
      <c r="N222" s="18">
        <f>IF(OR(L222="",M222=""),"",IF(L222&gt;M222,D222,IF(M222&gt;L222,E222,"Draw")))</f>
        <v/>
      </c>
      <c r="O222" s="18">
        <f>IF(AND(D222="",E222=""),"",IF(AND(L222&lt;&gt;"",M222&lt;&gt;""),"Completed","Scheduled"))</f>
        <v/>
      </c>
    </row>
    <row r="223">
      <c r="A223" s="15" t="n"/>
      <c r="B223" s="16" t="n"/>
      <c r="C223" s="16" t="n"/>
      <c r="D223" s="17" t="n"/>
      <c r="E223" s="17" t="n"/>
      <c r="F223" s="16" t="n"/>
      <c r="G223" s="16" t="n"/>
      <c r="H223" s="16" t="n"/>
      <c r="I223" s="16" t="n"/>
      <c r="J223" s="16" t="n"/>
      <c r="K223" s="16" t="n"/>
      <c r="L223" s="18">
        <f>IF(AND(D223="",E223=""),"",IFERROR(IF(F223&lt;&gt;"",F223,0)+IF(H223&lt;&gt;"",H223,0)+IF(J223&lt;&gt;"",J223,0),""))</f>
        <v/>
      </c>
      <c r="M223" s="18">
        <f>IF(AND(D223="",E223=""),"",IFERROR(IF(G223&lt;&gt;"",G223,0)+IF(I223&lt;&gt;"",I223,0)+IF(K223&lt;&gt;"",K223,0),""))</f>
        <v/>
      </c>
      <c r="N223" s="18">
        <f>IF(OR(L223="",M223=""),"",IF(L223&gt;M223,D223,IF(M223&gt;L223,E223,"Draw")))</f>
        <v/>
      </c>
      <c r="O223" s="18">
        <f>IF(AND(D223="",E223=""),"",IF(AND(L223&lt;&gt;"",M223&lt;&gt;""),"Completed","Scheduled"))</f>
        <v/>
      </c>
    </row>
    <row r="224">
      <c r="A224" s="15" t="n"/>
      <c r="B224" s="16" t="n"/>
      <c r="C224" s="16" t="n"/>
      <c r="D224" s="17" t="n"/>
      <c r="E224" s="17" t="n"/>
      <c r="F224" s="16" t="n"/>
      <c r="G224" s="16" t="n"/>
      <c r="H224" s="16" t="n"/>
      <c r="I224" s="16" t="n"/>
      <c r="J224" s="16" t="n"/>
      <c r="K224" s="16" t="n"/>
      <c r="L224" s="18">
        <f>IF(AND(D224="",E224=""),"",IFERROR(IF(F224&lt;&gt;"",F224,0)+IF(H224&lt;&gt;"",H224,0)+IF(J224&lt;&gt;"",J224,0),""))</f>
        <v/>
      </c>
      <c r="M224" s="18">
        <f>IF(AND(D224="",E224=""),"",IFERROR(IF(G224&lt;&gt;"",G224,0)+IF(I224&lt;&gt;"",I224,0)+IF(K224&lt;&gt;"",K224,0),""))</f>
        <v/>
      </c>
      <c r="N224" s="18">
        <f>IF(OR(L224="",M224=""),"",IF(L224&gt;M224,D224,IF(M224&gt;L224,E224,"Draw")))</f>
        <v/>
      </c>
      <c r="O224" s="18">
        <f>IF(AND(D224="",E224=""),"",IF(AND(L224&lt;&gt;"",M224&lt;&gt;""),"Completed","Scheduled"))</f>
        <v/>
      </c>
    </row>
    <row r="225">
      <c r="A225" s="15" t="n"/>
      <c r="B225" s="16" t="n"/>
      <c r="C225" s="16" t="n"/>
      <c r="D225" s="17" t="n"/>
      <c r="E225" s="17" t="n"/>
      <c r="F225" s="16" t="n"/>
      <c r="G225" s="16" t="n"/>
      <c r="H225" s="16" t="n"/>
      <c r="I225" s="16" t="n"/>
      <c r="J225" s="16" t="n"/>
      <c r="K225" s="16" t="n"/>
      <c r="L225" s="18">
        <f>IF(AND(D225="",E225=""),"",IFERROR(IF(F225&lt;&gt;"",F225,0)+IF(H225&lt;&gt;"",H225,0)+IF(J225&lt;&gt;"",J225,0),""))</f>
        <v/>
      </c>
      <c r="M225" s="18">
        <f>IF(AND(D225="",E225=""),"",IFERROR(IF(G225&lt;&gt;"",G225,0)+IF(I225&lt;&gt;"",I225,0)+IF(K225&lt;&gt;"",K225,0),""))</f>
        <v/>
      </c>
      <c r="N225" s="18">
        <f>IF(OR(L225="",M225=""),"",IF(L225&gt;M225,D225,IF(M225&gt;L225,E225,"Draw")))</f>
        <v/>
      </c>
      <c r="O225" s="18">
        <f>IF(AND(D225="",E225=""),"",IF(AND(L225&lt;&gt;"",M225&lt;&gt;""),"Completed","Scheduled"))</f>
        <v/>
      </c>
    </row>
    <row r="226">
      <c r="A226" s="15" t="n"/>
      <c r="B226" s="16" t="n"/>
      <c r="C226" s="16" t="n"/>
      <c r="D226" s="17" t="n"/>
      <c r="E226" s="17" t="n"/>
      <c r="F226" s="16" t="n"/>
      <c r="G226" s="16" t="n"/>
      <c r="H226" s="16" t="n"/>
      <c r="I226" s="16" t="n"/>
      <c r="J226" s="16" t="n"/>
      <c r="K226" s="16" t="n"/>
      <c r="L226" s="18">
        <f>IF(AND(D226="",E226=""),"",IFERROR(IF(F226&lt;&gt;"",F226,0)+IF(H226&lt;&gt;"",H226,0)+IF(J226&lt;&gt;"",J226,0),""))</f>
        <v/>
      </c>
      <c r="M226" s="18">
        <f>IF(AND(D226="",E226=""),"",IFERROR(IF(G226&lt;&gt;"",G226,0)+IF(I226&lt;&gt;"",I226,0)+IF(K226&lt;&gt;"",K226,0),""))</f>
        <v/>
      </c>
      <c r="N226" s="18">
        <f>IF(OR(L226="",M226=""),"",IF(L226&gt;M226,D226,IF(M226&gt;L226,E226,"Draw")))</f>
        <v/>
      </c>
      <c r="O226" s="18">
        <f>IF(AND(D226="",E226=""),"",IF(AND(L226&lt;&gt;"",M226&lt;&gt;""),"Completed","Scheduled"))</f>
        <v/>
      </c>
    </row>
    <row r="227">
      <c r="A227" s="15" t="n"/>
      <c r="B227" s="16" t="n"/>
      <c r="C227" s="16" t="n"/>
      <c r="D227" s="17" t="n"/>
      <c r="E227" s="17" t="n"/>
      <c r="F227" s="16" t="n"/>
      <c r="G227" s="16" t="n"/>
      <c r="H227" s="16" t="n"/>
      <c r="I227" s="16" t="n"/>
      <c r="J227" s="16" t="n"/>
      <c r="K227" s="16" t="n"/>
      <c r="L227" s="18">
        <f>IF(AND(D227="",E227=""),"",IFERROR(IF(F227&lt;&gt;"",F227,0)+IF(H227&lt;&gt;"",H227,0)+IF(J227&lt;&gt;"",J227,0),""))</f>
        <v/>
      </c>
      <c r="M227" s="18">
        <f>IF(AND(D227="",E227=""),"",IFERROR(IF(G227&lt;&gt;"",G227,0)+IF(I227&lt;&gt;"",I227,0)+IF(K227&lt;&gt;"",K227,0),""))</f>
        <v/>
      </c>
      <c r="N227" s="18">
        <f>IF(OR(L227="",M227=""),"",IF(L227&gt;M227,D227,IF(M227&gt;L227,E227,"Draw")))</f>
        <v/>
      </c>
      <c r="O227" s="18">
        <f>IF(AND(D227="",E227=""),"",IF(AND(L227&lt;&gt;"",M227&lt;&gt;""),"Completed","Scheduled"))</f>
        <v/>
      </c>
    </row>
    <row r="228">
      <c r="A228" s="15" t="n"/>
      <c r="B228" s="16" t="n"/>
      <c r="C228" s="16" t="n"/>
      <c r="D228" s="17" t="n"/>
      <c r="E228" s="17" t="n"/>
      <c r="F228" s="16" t="n"/>
      <c r="G228" s="16" t="n"/>
      <c r="H228" s="16" t="n"/>
      <c r="I228" s="16" t="n"/>
      <c r="J228" s="16" t="n"/>
      <c r="K228" s="16" t="n"/>
      <c r="L228" s="18">
        <f>IF(AND(D228="",E228=""),"",IFERROR(IF(F228&lt;&gt;"",F228,0)+IF(H228&lt;&gt;"",H228,0)+IF(J228&lt;&gt;"",J228,0),""))</f>
        <v/>
      </c>
      <c r="M228" s="18">
        <f>IF(AND(D228="",E228=""),"",IFERROR(IF(G228&lt;&gt;"",G228,0)+IF(I228&lt;&gt;"",I228,0)+IF(K228&lt;&gt;"",K228,0),""))</f>
        <v/>
      </c>
      <c r="N228" s="18">
        <f>IF(OR(L228="",M228=""),"",IF(L228&gt;M228,D228,IF(M228&gt;L228,E228,"Draw")))</f>
        <v/>
      </c>
      <c r="O228" s="18">
        <f>IF(AND(D228="",E228=""),"",IF(AND(L228&lt;&gt;"",M228&lt;&gt;""),"Completed","Scheduled"))</f>
        <v/>
      </c>
    </row>
    <row r="229">
      <c r="A229" s="15" t="n"/>
      <c r="B229" s="16" t="n"/>
      <c r="C229" s="16" t="n"/>
      <c r="D229" s="17" t="n"/>
      <c r="E229" s="17" t="n"/>
      <c r="F229" s="16" t="n"/>
      <c r="G229" s="16" t="n"/>
      <c r="H229" s="16" t="n"/>
      <c r="I229" s="16" t="n"/>
      <c r="J229" s="16" t="n"/>
      <c r="K229" s="16" t="n"/>
      <c r="L229" s="18">
        <f>IF(AND(D229="",E229=""),"",IFERROR(IF(F229&lt;&gt;"",F229,0)+IF(H229&lt;&gt;"",H229,0)+IF(J229&lt;&gt;"",J229,0),""))</f>
        <v/>
      </c>
      <c r="M229" s="18">
        <f>IF(AND(D229="",E229=""),"",IFERROR(IF(G229&lt;&gt;"",G229,0)+IF(I229&lt;&gt;"",I229,0)+IF(K229&lt;&gt;"",K229,0),""))</f>
        <v/>
      </c>
      <c r="N229" s="18">
        <f>IF(OR(L229="",M229=""),"",IF(L229&gt;M229,D229,IF(M229&gt;L229,E229,"Draw")))</f>
        <v/>
      </c>
      <c r="O229" s="18">
        <f>IF(AND(D229="",E229=""),"",IF(AND(L229&lt;&gt;"",M229&lt;&gt;""),"Completed","Scheduled"))</f>
        <v/>
      </c>
    </row>
    <row r="230">
      <c r="A230" s="15" t="n"/>
      <c r="B230" s="16" t="n"/>
      <c r="C230" s="16" t="n"/>
      <c r="D230" s="17" t="n"/>
      <c r="E230" s="17" t="n"/>
      <c r="F230" s="16" t="n"/>
      <c r="G230" s="16" t="n"/>
      <c r="H230" s="16" t="n"/>
      <c r="I230" s="16" t="n"/>
      <c r="J230" s="16" t="n"/>
      <c r="K230" s="16" t="n"/>
      <c r="L230" s="18">
        <f>IF(AND(D230="",E230=""),"",IFERROR(IF(F230&lt;&gt;"",F230,0)+IF(H230&lt;&gt;"",H230,0)+IF(J230&lt;&gt;"",J230,0),""))</f>
        <v/>
      </c>
      <c r="M230" s="18">
        <f>IF(AND(D230="",E230=""),"",IFERROR(IF(G230&lt;&gt;"",G230,0)+IF(I230&lt;&gt;"",I230,0)+IF(K230&lt;&gt;"",K230,0),""))</f>
        <v/>
      </c>
      <c r="N230" s="18">
        <f>IF(OR(L230="",M230=""),"",IF(L230&gt;M230,D230,IF(M230&gt;L230,E230,"Draw")))</f>
        <v/>
      </c>
      <c r="O230" s="18">
        <f>IF(AND(D230="",E230=""),"",IF(AND(L230&lt;&gt;"",M230&lt;&gt;""),"Completed","Scheduled"))</f>
        <v/>
      </c>
    </row>
    <row r="231">
      <c r="A231" s="15" t="n"/>
      <c r="B231" s="16" t="n"/>
      <c r="C231" s="16" t="n"/>
      <c r="D231" s="17" t="n"/>
      <c r="E231" s="17" t="n"/>
      <c r="F231" s="16" t="n"/>
      <c r="G231" s="16" t="n"/>
      <c r="H231" s="16" t="n"/>
      <c r="I231" s="16" t="n"/>
      <c r="J231" s="16" t="n"/>
      <c r="K231" s="16" t="n"/>
      <c r="L231" s="18">
        <f>IF(AND(D231="",E231=""),"",IFERROR(IF(F231&lt;&gt;"",F231,0)+IF(H231&lt;&gt;"",H231,0)+IF(J231&lt;&gt;"",J231,0),""))</f>
        <v/>
      </c>
      <c r="M231" s="18">
        <f>IF(AND(D231="",E231=""),"",IFERROR(IF(G231&lt;&gt;"",G231,0)+IF(I231&lt;&gt;"",I231,0)+IF(K231&lt;&gt;"",K231,0),""))</f>
        <v/>
      </c>
      <c r="N231" s="18">
        <f>IF(OR(L231="",M231=""),"",IF(L231&gt;M231,D231,IF(M231&gt;L231,E231,"Draw")))</f>
        <v/>
      </c>
      <c r="O231" s="18">
        <f>IF(AND(D231="",E231=""),"",IF(AND(L231&lt;&gt;"",M231&lt;&gt;""),"Completed","Scheduled"))</f>
        <v/>
      </c>
    </row>
    <row r="232">
      <c r="A232" s="15" t="n"/>
      <c r="B232" s="16" t="n"/>
      <c r="C232" s="16" t="n"/>
      <c r="D232" s="17" t="n"/>
      <c r="E232" s="17" t="n"/>
      <c r="F232" s="16" t="n"/>
      <c r="G232" s="16" t="n"/>
      <c r="H232" s="16" t="n"/>
      <c r="I232" s="16" t="n"/>
      <c r="J232" s="16" t="n"/>
      <c r="K232" s="16" t="n"/>
      <c r="L232" s="18">
        <f>IF(AND(D232="",E232=""),"",IFERROR(IF(F232&lt;&gt;"",F232,0)+IF(H232&lt;&gt;"",H232,0)+IF(J232&lt;&gt;"",J232,0),""))</f>
        <v/>
      </c>
      <c r="M232" s="18">
        <f>IF(AND(D232="",E232=""),"",IFERROR(IF(G232&lt;&gt;"",G232,0)+IF(I232&lt;&gt;"",I232,0)+IF(K232&lt;&gt;"",K232,0),""))</f>
        <v/>
      </c>
      <c r="N232" s="18">
        <f>IF(OR(L232="",M232=""),"",IF(L232&gt;M232,D232,IF(M232&gt;L232,E232,"Draw")))</f>
        <v/>
      </c>
      <c r="O232" s="18">
        <f>IF(AND(D232="",E232=""),"",IF(AND(L232&lt;&gt;"",M232&lt;&gt;""),"Completed","Scheduled"))</f>
        <v/>
      </c>
    </row>
    <row r="233">
      <c r="A233" s="15" t="n"/>
      <c r="B233" s="16" t="n"/>
      <c r="C233" s="16" t="n"/>
      <c r="D233" s="17" t="n"/>
      <c r="E233" s="17" t="n"/>
      <c r="F233" s="16" t="n"/>
      <c r="G233" s="16" t="n"/>
      <c r="H233" s="16" t="n"/>
      <c r="I233" s="16" t="n"/>
      <c r="J233" s="16" t="n"/>
      <c r="K233" s="16" t="n"/>
      <c r="L233" s="18">
        <f>IF(AND(D233="",E233=""),"",IFERROR(IF(F233&lt;&gt;"",F233,0)+IF(H233&lt;&gt;"",H233,0)+IF(J233&lt;&gt;"",J233,0),""))</f>
        <v/>
      </c>
      <c r="M233" s="18">
        <f>IF(AND(D233="",E233=""),"",IFERROR(IF(G233&lt;&gt;"",G233,0)+IF(I233&lt;&gt;"",I233,0)+IF(K233&lt;&gt;"",K233,0),""))</f>
        <v/>
      </c>
      <c r="N233" s="18">
        <f>IF(OR(L233="",M233=""),"",IF(L233&gt;M233,D233,IF(M233&gt;L233,E233,"Draw")))</f>
        <v/>
      </c>
      <c r="O233" s="18">
        <f>IF(AND(D233="",E233=""),"",IF(AND(L233&lt;&gt;"",M233&lt;&gt;""),"Completed","Scheduled"))</f>
        <v/>
      </c>
    </row>
    <row r="234">
      <c r="A234" s="15" t="n"/>
      <c r="B234" s="16" t="n"/>
      <c r="C234" s="16" t="n"/>
      <c r="D234" s="17" t="n"/>
      <c r="E234" s="17" t="n"/>
      <c r="F234" s="16" t="n"/>
      <c r="G234" s="16" t="n"/>
      <c r="H234" s="16" t="n"/>
      <c r="I234" s="16" t="n"/>
      <c r="J234" s="16" t="n"/>
      <c r="K234" s="16" t="n"/>
      <c r="L234" s="18">
        <f>IF(AND(D234="",E234=""),"",IFERROR(IF(F234&lt;&gt;"",F234,0)+IF(H234&lt;&gt;"",H234,0)+IF(J234&lt;&gt;"",J234,0),""))</f>
        <v/>
      </c>
      <c r="M234" s="18">
        <f>IF(AND(D234="",E234=""),"",IFERROR(IF(G234&lt;&gt;"",G234,0)+IF(I234&lt;&gt;"",I234,0)+IF(K234&lt;&gt;"",K234,0),""))</f>
        <v/>
      </c>
      <c r="N234" s="18">
        <f>IF(OR(L234="",M234=""),"",IF(L234&gt;M234,D234,IF(M234&gt;L234,E234,"Draw")))</f>
        <v/>
      </c>
      <c r="O234" s="18">
        <f>IF(AND(D234="",E234=""),"",IF(AND(L234&lt;&gt;"",M234&lt;&gt;""),"Completed","Scheduled"))</f>
        <v/>
      </c>
    </row>
    <row r="235">
      <c r="A235" s="15" t="n"/>
      <c r="B235" s="16" t="n"/>
      <c r="C235" s="16" t="n"/>
      <c r="D235" s="17" t="n"/>
      <c r="E235" s="17" t="n"/>
      <c r="F235" s="16" t="n"/>
      <c r="G235" s="16" t="n"/>
      <c r="H235" s="16" t="n"/>
      <c r="I235" s="16" t="n"/>
      <c r="J235" s="16" t="n"/>
      <c r="K235" s="16" t="n"/>
      <c r="L235" s="18">
        <f>IF(AND(D235="",E235=""),"",IFERROR(IF(F235&lt;&gt;"",F235,0)+IF(H235&lt;&gt;"",H235,0)+IF(J235&lt;&gt;"",J235,0),""))</f>
        <v/>
      </c>
      <c r="M235" s="18">
        <f>IF(AND(D235="",E235=""),"",IFERROR(IF(G235&lt;&gt;"",G235,0)+IF(I235&lt;&gt;"",I235,0)+IF(K235&lt;&gt;"",K235,0),""))</f>
        <v/>
      </c>
      <c r="N235" s="18">
        <f>IF(OR(L235="",M235=""),"",IF(L235&gt;M235,D235,IF(M235&gt;L235,E235,"Draw")))</f>
        <v/>
      </c>
      <c r="O235" s="18">
        <f>IF(AND(D235="",E235=""),"",IF(AND(L235&lt;&gt;"",M235&lt;&gt;""),"Completed","Scheduled"))</f>
        <v/>
      </c>
    </row>
    <row r="236">
      <c r="A236" s="15" t="n"/>
      <c r="B236" s="16" t="n"/>
      <c r="C236" s="16" t="n"/>
      <c r="D236" s="17" t="n"/>
      <c r="E236" s="17" t="n"/>
      <c r="F236" s="16" t="n"/>
      <c r="G236" s="16" t="n"/>
      <c r="H236" s="16" t="n"/>
      <c r="I236" s="16" t="n"/>
      <c r="J236" s="16" t="n"/>
      <c r="K236" s="16" t="n"/>
      <c r="L236" s="18">
        <f>IF(AND(D236="",E236=""),"",IFERROR(IF(F236&lt;&gt;"",F236,0)+IF(H236&lt;&gt;"",H236,0)+IF(J236&lt;&gt;"",J236,0),""))</f>
        <v/>
      </c>
      <c r="M236" s="18">
        <f>IF(AND(D236="",E236=""),"",IFERROR(IF(G236&lt;&gt;"",G236,0)+IF(I236&lt;&gt;"",I236,0)+IF(K236&lt;&gt;"",K236,0),""))</f>
        <v/>
      </c>
      <c r="N236" s="18">
        <f>IF(OR(L236="",M236=""),"",IF(L236&gt;M236,D236,IF(M236&gt;L236,E236,"Draw")))</f>
        <v/>
      </c>
      <c r="O236" s="18">
        <f>IF(AND(D236="",E236=""),"",IF(AND(L236&lt;&gt;"",M236&lt;&gt;""),"Completed","Scheduled"))</f>
        <v/>
      </c>
    </row>
    <row r="237">
      <c r="A237" s="15" t="n"/>
      <c r="B237" s="16" t="n"/>
      <c r="C237" s="16" t="n"/>
      <c r="D237" s="17" t="n"/>
      <c r="E237" s="17" t="n"/>
      <c r="F237" s="16" t="n"/>
      <c r="G237" s="16" t="n"/>
      <c r="H237" s="16" t="n"/>
      <c r="I237" s="16" t="n"/>
      <c r="J237" s="16" t="n"/>
      <c r="K237" s="16" t="n"/>
      <c r="L237" s="18">
        <f>IF(AND(D237="",E237=""),"",IFERROR(IF(F237&lt;&gt;"",F237,0)+IF(H237&lt;&gt;"",H237,0)+IF(J237&lt;&gt;"",J237,0),""))</f>
        <v/>
      </c>
      <c r="M237" s="18">
        <f>IF(AND(D237="",E237=""),"",IFERROR(IF(G237&lt;&gt;"",G237,0)+IF(I237&lt;&gt;"",I237,0)+IF(K237&lt;&gt;"",K237,0),""))</f>
        <v/>
      </c>
      <c r="N237" s="18">
        <f>IF(OR(L237="",M237=""),"",IF(L237&gt;M237,D237,IF(M237&gt;L237,E237,"Draw")))</f>
        <v/>
      </c>
      <c r="O237" s="18">
        <f>IF(AND(D237="",E237=""),"",IF(AND(L237&lt;&gt;"",M237&lt;&gt;""),"Completed","Scheduled"))</f>
        <v/>
      </c>
    </row>
    <row r="238">
      <c r="A238" s="15" t="n"/>
      <c r="B238" s="16" t="n"/>
      <c r="C238" s="16" t="n"/>
      <c r="D238" s="17" t="n"/>
      <c r="E238" s="17" t="n"/>
      <c r="F238" s="16" t="n"/>
      <c r="G238" s="16" t="n"/>
      <c r="H238" s="16" t="n"/>
      <c r="I238" s="16" t="n"/>
      <c r="J238" s="16" t="n"/>
      <c r="K238" s="16" t="n"/>
      <c r="L238" s="18">
        <f>IF(AND(D238="",E238=""),"",IFERROR(IF(F238&lt;&gt;"",F238,0)+IF(H238&lt;&gt;"",H238,0)+IF(J238&lt;&gt;"",J238,0),""))</f>
        <v/>
      </c>
      <c r="M238" s="18">
        <f>IF(AND(D238="",E238=""),"",IFERROR(IF(G238&lt;&gt;"",G238,0)+IF(I238&lt;&gt;"",I238,0)+IF(K238&lt;&gt;"",K238,0),""))</f>
        <v/>
      </c>
      <c r="N238" s="18">
        <f>IF(OR(L238="",M238=""),"",IF(L238&gt;M238,D238,IF(M238&gt;L238,E238,"Draw")))</f>
        <v/>
      </c>
      <c r="O238" s="18">
        <f>IF(AND(D238="",E238=""),"",IF(AND(L238&lt;&gt;"",M238&lt;&gt;""),"Completed","Scheduled"))</f>
        <v/>
      </c>
    </row>
    <row r="239">
      <c r="A239" s="15" t="n"/>
      <c r="B239" s="16" t="n"/>
      <c r="C239" s="16" t="n"/>
      <c r="D239" s="17" t="n"/>
      <c r="E239" s="17" t="n"/>
      <c r="F239" s="16" t="n"/>
      <c r="G239" s="16" t="n"/>
      <c r="H239" s="16" t="n"/>
      <c r="I239" s="16" t="n"/>
      <c r="J239" s="16" t="n"/>
      <c r="K239" s="16" t="n"/>
      <c r="L239" s="18">
        <f>IF(AND(D239="",E239=""),"",IFERROR(IF(F239&lt;&gt;"",F239,0)+IF(H239&lt;&gt;"",H239,0)+IF(J239&lt;&gt;"",J239,0),""))</f>
        <v/>
      </c>
      <c r="M239" s="18">
        <f>IF(AND(D239="",E239=""),"",IFERROR(IF(G239&lt;&gt;"",G239,0)+IF(I239&lt;&gt;"",I239,0)+IF(K239&lt;&gt;"",K239,0),""))</f>
        <v/>
      </c>
      <c r="N239" s="18">
        <f>IF(OR(L239="",M239=""),"",IF(L239&gt;M239,D239,IF(M239&gt;L239,E239,"Draw")))</f>
        <v/>
      </c>
      <c r="O239" s="18">
        <f>IF(AND(D239="",E239=""),"",IF(AND(L239&lt;&gt;"",M239&lt;&gt;""),"Completed","Scheduled"))</f>
        <v/>
      </c>
    </row>
    <row r="240">
      <c r="A240" s="15" t="n"/>
      <c r="B240" s="16" t="n"/>
      <c r="C240" s="16" t="n"/>
      <c r="D240" s="17" t="n"/>
      <c r="E240" s="17" t="n"/>
      <c r="F240" s="16" t="n"/>
      <c r="G240" s="16" t="n"/>
      <c r="H240" s="16" t="n"/>
      <c r="I240" s="16" t="n"/>
      <c r="J240" s="16" t="n"/>
      <c r="K240" s="16" t="n"/>
      <c r="L240" s="18">
        <f>IF(AND(D240="",E240=""),"",IFERROR(IF(F240&lt;&gt;"",F240,0)+IF(H240&lt;&gt;"",H240,0)+IF(J240&lt;&gt;"",J240,0),""))</f>
        <v/>
      </c>
      <c r="M240" s="18">
        <f>IF(AND(D240="",E240=""),"",IFERROR(IF(G240&lt;&gt;"",G240,0)+IF(I240&lt;&gt;"",I240,0)+IF(K240&lt;&gt;"",K240,0),""))</f>
        <v/>
      </c>
      <c r="N240" s="18">
        <f>IF(OR(L240="",M240=""),"",IF(L240&gt;M240,D240,IF(M240&gt;L240,E240,"Draw")))</f>
        <v/>
      </c>
      <c r="O240" s="18">
        <f>IF(AND(D240="",E240=""),"",IF(AND(L240&lt;&gt;"",M240&lt;&gt;""),"Completed","Scheduled"))</f>
        <v/>
      </c>
    </row>
    <row r="241">
      <c r="A241" s="15" t="n"/>
      <c r="B241" s="16" t="n"/>
      <c r="C241" s="16" t="n"/>
      <c r="D241" s="17" t="n"/>
      <c r="E241" s="17" t="n"/>
      <c r="F241" s="16" t="n"/>
      <c r="G241" s="16" t="n"/>
      <c r="H241" s="16" t="n"/>
      <c r="I241" s="16" t="n"/>
      <c r="J241" s="16" t="n"/>
      <c r="K241" s="16" t="n"/>
      <c r="L241" s="18">
        <f>IF(AND(D241="",E241=""),"",IFERROR(IF(F241&lt;&gt;"",F241,0)+IF(H241&lt;&gt;"",H241,0)+IF(J241&lt;&gt;"",J241,0),""))</f>
        <v/>
      </c>
      <c r="M241" s="18">
        <f>IF(AND(D241="",E241=""),"",IFERROR(IF(G241&lt;&gt;"",G241,0)+IF(I241&lt;&gt;"",I241,0)+IF(K241&lt;&gt;"",K241,0),""))</f>
        <v/>
      </c>
      <c r="N241" s="18">
        <f>IF(OR(L241="",M241=""),"",IF(L241&gt;M241,D241,IF(M241&gt;L241,E241,"Draw")))</f>
        <v/>
      </c>
      <c r="O241" s="18">
        <f>IF(AND(D241="",E241=""),"",IF(AND(L241&lt;&gt;"",M241&lt;&gt;""),"Completed","Scheduled"))</f>
        <v/>
      </c>
    </row>
    <row r="242">
      <c r="A242" s="15" t="n"/>
      <c r="B242" s="16" t="n"/>
      <c r="C242" s="16" t="n"/>
      <c r="D242" s="17" t="n"/>
      <c r="E242" s="17" t="n"/>
      <c r="F242" s="16" t="n"/>
      <c r="G242" s="16" t="n"/>
      <c r="H242" s="16" t="n"/>
      <c r="I242" s="16" t="n"/>
      <c r="J242" s="16" t="n"/>
      <c r="K242" s="16" t="n"/>
      <c r="L242" s="18">
        <f>IF(AND(D242="",E242=""),"",IFERROR(IF(F242&lt;&gt;"",F242,0)+IF(H242&lt;&gt;"",H242,0)+IF(J242&lt;&gt;"",J242,0),""))</f>
        <v/>
      </c>
      <c r="M242" s="18">
        <f>IF(AND(D242="",E242=""),"",IFERROR(IF(G242&lt;&gt;"",G242,0)+IF(I242&lt;&gt;"",I242,0)+IF(K242&lt;&gt;"",K242,0),""))</f>
        <v/>
      </c>
      <c r="N242" s="18">
        <f>IF(OR(L242="",M242=""),"",IF(L242&gt;M242,D242,IF(M242&gt;L242,E242,"Draw")))</f>
        <v/>
      </c>
      <c r="O242" s="18">
        <f>IF(AND(D242="",E242=""),"",IF(AND(L242&lt;&gt;"",M242&lt;&gt;""),"Completed","Scheduled"))</f>
        <v/>
      </c>
    </row>
    <row r="243">
      <c r="A243" s="15" t="n"/>
      <c r="B243" s="16" t="n"/>
      <c r="C243" s="16" t="n"/>
      <c r="D243" s="17" t="n"/>
      <c r="E243" s="17" t="n"/>
      <c r="F243" s="16" t="n"/>
      <c r="G243" s="16" t="n"/>
      <c r="H243" s="16" t="n"/>
      <c r="I243" s="16" t="n"/>
      <c r="J243" s="16" t="n"/>
      <c r="K243" s="16" t="n"/>
      <c r="L243" s="18">
        <f>IF(AND(D243="",E243=""),"",IFERROR(IF(F243&lt;&gt;"",F243,0)+IF(H243&lt;&gt;"",H243,0)+IF(J243&lt;&gt;"",J243,0),""))</f>
        <v/>
      </c>
      <c r="M243" s="18">
        <f>IF(AND(D243="",E243=""),"",IFERROR(IF(G243&lt;&gt;"",G243,0)+IF(I243&lt;&gt;"",I243,0)+IF(K243&lt;&gt;"",K243,0),""))</f>
        <v/>
      </c>
      <c r="N243" s="18">
        <f>IF(OR(L243="",M243=""),"",IF(L243&gt;M243,D243,IF(M243&gt;L243,E243,"Draw")))</f>
        <v/>
      </c>
      <c r="O243" s="18">
        <f>IF(AND(D243="",E243=""),"",IF(AND(L243&lt;&gt;"",M243&lt;&gt;""),"Completed","Scheduled"))</f>
        <v/>
      </c>
    </row>
    <row r="244">
      <c r="A244" s="15" t="n"/>
      <c r="B244" s="16" t="n"/>
      <c r="C244" s="16" t="n"/>
      <c r="D244" s="17" t="n"/>
      <c r="E244" s="17" t="n"/>
      <c r="F244" s="16" t="n"/>
      <c r="G244" s="16" t="n"/>
      <c r="H244" s="16" t="n"/>
      <c r="I244" s="16" t="n"/>
      <c r="J244" s="16" t="n"/>
      <c r="K244" s="16" t="n"/>
      <c r="L244" s="18">
        <f>IF(AND(D244="",E244=""),"",IFERROR(IF(F244&lt;&gt;"",F244,0)+IF(H244&lt;&gt;"",H244,0)+IF(J244&lt;&gt;"",J244,0),""))</f>
        <v/>
      </c>
      <c r="M244" s="18">
        <f>IF(AND(D244="",E244=""),"",IFERROR(IF(G244&lt;&gt;"",G244,0)+IF(I244&lt;&gt;"",I244,0)+IF(K244&lt;&gt;"",K244,0),""))</f>
        <v/>
      </c>
      <c r="N244" s="18">
        <f>IF(OR(L244="",M244=""),"",IF(L244&gt;M244,D244,IF(M244&gt;L244,E244,"Draw")))</f>
        <v/>
      </c>
      <c r="O244" s="18">
        <f>IF(AND(D244="",E244=""),"",IF(AND(L244&lt;&gt;"",M244&lt;&gt;""),"Completed","Scheduled"))</f>
        <v/>
      </c>
    </row>
    <row r="245">
      <c r="A245" s="15" t="n"/>
      <c r="B245" s="16" t="n"/>
      <c r="C245" s="16" t="n"/>
      <c r="D245" s="17" t="n"/>
      <c r="E245" s="17" t="n"/>
      <c r="F245" s="16" t="n"/>
      <c r="G245" s="16" t="n"/>
      <c r="H245" s="16" t="n"/>
      <c r="I245" s="16" t="n"/>
      <c r="J245" s="16" t="n"/>
      <c r="K245" s="16" t="n"/>
      <c r="L245" s="18">
        <f>IF(AND(D245="",E245=""),"",IFERROR(IF(F245&lt;&gt;"",F245,0)+IF(H245&lt;&gt;"",H245,0)+IF(J245&lt;&gt;"",J245,0),""))</f>
        <v/>
      </c>
      <c r="M245" s="18">
        <f>IF(AND(D245="",E245=""),"",IFERROR(IF(G245&lt;&gt;"",G245,0)+IF(I245&lt;&gt;"",I245,0)+IF(K245&lt;&gt;"",K245,0),""))</f>
        <v/>
      </c>
      <c r="N245" s="18">
        <f>IF(OR(L245="",M245=""),"",IF(L245&gt;M245,D245,IF(M245&gt;L245,E245,"Draw")))</f>
        <v/>
      </c>
      <c r="O245" s="18">
        <f>IF(AND(D245="",E245=""),"",IF(AND(L245&lt;&gt;"",M245&lt;&gt;""),"Completed","Scheduled"))</f>
        <v/>
      </c>
    </row>
    <row r="246">
      <c r="A246" s="15" t="n"/>
      <c r="B246" s="16" t="n"/>
      <c r="C246" s="16" t="n"/>
      <c r="D246" s="17" t="n"/>
      <c r="E246" s="17" t="n"/>
      <c r="F246" s="16" t="n"/>
      <c r="G246" s="16" t="n"/>
      <c r="H246" s="16" t="n"/>
      <c r="I246" s="16" t="n"/>
      <c r="J246" s="16" t="n"/>
      <c r="K246" s="16" t="n"/>
      <c r="L246" s="18">
        <f>IF(AND(D246="",E246=""),"",IFERROR(IF(F246&lt;&gt;"",F246,0)+IF(H246&lt;&gt;"",H246,0)+IF(J246&lt;&gt;"",J246,0),""))</f>
        <v/>
      </c>
      <c r="M246" s="18">
        <f>IF(AND(D246="",E246=""),"",IFERROR(IF(G246&lt;&gt;"",G246,0)+IF(I246&lt;&gt;"",I246,0)+IF(K246&lt;&gt;"",K246,0),""))</f>
        <v/>
      </c>
      <c r="N246" s="18">
        <f>IF(OR(L246="",M246=""),"",IF(L246&gt;M246,D246,IF(M246&gt;L246,E246,"Draw")))</f>
        <v/>
      </c>
      <c r="O246" s="18">
        <f>IF(AND(D246="",E246=""),"",IF(AND(L246&lt;&gt;"",M246&lt;&gt;""),"Completed","Scheduled"))</f>
        <v/>
      </c>
    </row>
    <row r="247">
      <c r="A247" s="15" t="n"/>
      <c r="B247" s="16" t="n"/>
      <c r="C247" s="16" t="n"/>
      <c r="D247" s="17" t="n"/>
      <c r="E247" s="17" t="n"/>
      <c r="F247" s="16" t="n"/>
      <c r="G247" s="16" t="n"/>
      <c r="H247" s="16" t="n"/>
      <c r="I247" s="16" t="n"/>
      <c r="J247" s="16" t="n"/>
      <c r="K247" s="16" t="n"/>
      <c r="L247" s="18">
        <f>IF(AND(D247="",E247=""),"",IFERROR(IF(F247&lt;&gt;"",F247,0)+IF(H247&lt;&gt;"",H247,0)+IF(J247&lt;&gt;"",J247,0),""))</f>
        <v/>
      </c>
      <c r="M247" s="18">
        <f>IF(AND(D247="",E247=""),"",IFERROR(IF(G247&lt;&gt;"",G247,0)+IF(I247&lt;&gt;"",I247,0)+IF(K247&lt;&gt;"",K247,0),""))</f>
        <v/>
      </c>
      <c r="N247" s="18">
        <f>IF(OR(L247="",M247=""),"",IF(L247&gt;M247,D247,IF(M247&gt;L247,E247,"Draw")))</f>
        <v/>
      </c>
      <c r="O247" s="18">
        <f>IF(AND(D247="",E247=""),"",IF(AND(L247&lt;&gt;"",M247&lt;&gt;""),"Completed","Scheduled"))</f>
        <v/>
      </c>
    </row>
    <row r="248">
      <c r="A248" s="15" t="n"/>
      <c r="B248" s="16" t="n"/>
      <c r="C248" s="16" t="n"/>
      <c r="D248" s="17" t="n"/>
      <c r="E248" s="17" t="n"/>
      <c r="F248" s="16" t="n"/>
      <c r="G248" s="16" t="n"/>
      <c r="H248" s="16" t="n"/>
      <c r="I248" s="16" t="n"/>
      <c r="J248" s="16" t="n"/>
      <c r="K248" s="16" t="n"/>
      <c r="L248" s="18">
        <f>IF(AND(D248="",E248=""),"",IFERROR(IF(F248&lt;&gt;"",F248,0)+IF(H248&lt;&gt;"",H248,0)+IF(J248&lt;&gt;"",J248,0),""))</f>
        <v/>
      </c>
      <c r="M248" s="18">
        <f>IF(AND(D248="",E248=""),"",IFERROR(IF(G248&lt;&gt;"",G248,0)+IF(I248&lt;&gt;"",I248,0)+IF(K248&lt;&gt;"",K248,0),""))</f>
        <v/>
      </c>
      <c r="N248" s="18">
        <f>IF(OR(L248="",M248=""),"",IF(L248&gt;M248,D248,IF(M248&gt;L248,E248,"Draw")))</f>
        <v/>
      </c>
      <c r="O248" s="18">
        <f>IF(AND(D248="",E248=""),"",IF(AND(L248&lt;&gt;"",M248&lt;&gt;""),"Completed","Scheduled"))</f>
        <v/>
      </c>
    </row>
    <row r="249">
      <c r="A249" s="15" t="n"/>
      <c r="B249" s="16" t="n"/>
      <c r="C249" s="16" t="n"/>
      <c r="D249" s="17" t="n"/>
      <c r="E249" s="17" t="n"/>
      <c r="F249" s="16" t="n"/>
      <c r="G249" s="16" t="n"/>
      <c r="H249" s="16" t="n"/>
      <c r="I249" s="16" t="n"/>
      <c r="J249" s="16" t="n"/>
      <c r="K249" s="16" t="n"/>
      <c r="L249" s="18">
        <f>IF(AND(D249="",E249=""),"",IFERROR(IF(F249&lt;&gt;"",F249,0)+IF(H249&lt;&gt;"",H249,0)+IF(J249&lt;&gt;"",J249,0),""))</f>
        <v/>
      </c>
      <c r="M249" s="18">
        <f>IF(AND(D249="",E249=""),"",IFERROR(IF(G249&lt;&gt;"",G249,0)+IF(I249&lt;&gt;"",I249,0)+IF(K249&lt;&gt;"",K249,0),""))</f>
        <v/>
      </c>
      <c r="N249" s="18">
        <f>IF(OR(L249="",M249=""),"",IF(L249&gt;M249,D249,IF(M249&gt;L249,E249,"Draw")))</f>
        <v/>
      </c>
      <c r="O249" s="18">
        <f>IF(AND(D249="",E249=""),"",IF(AND(L249&lt;&gt;"",M249&lt;&gt;""),"Completed","Scheduled"))</f>
        <v/>
      </c>
    </row>
    <row r="250">
      <c r="A250" s="15" t="n"/>
      <c r="B250" s="16" t="n"/>
      <c r="C250" s="16" t="n"/>
      <c r="D250" s="17" t="n"/>
      <c r="E250" s="17" t="n"/>
      <c r="F250" s="16" t="n"/>
      <c r="G250" s="16" t="n"/>
      <c r="H250" s="16" t="n"/>
      <c r="I250" s="16" t="n"/>
      <c r="J250" s="16" t="n"/>
      <c r="K250" s="16" t="n"/>
      <c r="L250" s="18">
        <f>IF(AND(D250="",E250=""),"",IFERROR(IF(F250&lt;&gt;"",F250,0)+IF(H250&lt;&gt;"",H250,0)+IF(J250&lt;&gt;"",J250,0),""))</f>
        <v/>
      </c>
      <c r="M250" s="18">
        <f>IF(AND(D250="",E250=""),"",IFERROR(IF(G250&lt;&gt;"",G250,0)+IF(I250&lt;&gt;"",I250,0)+IF(K250&lt;&gt;"",K250,0),""))</f>
        <v/>
      </c>
      <c r="N250" s="18">
        <f>IF(OR(L250="",M250=""),"",IF(L250&gt;M250,D250,IF(M250&gt;L250,E250,"Draw")))</f>
        <v/>
      </c>
      <c r="O250" s="18">
        <f>IF(AND(D250="",E250=""),"",IF(AND(L250&lt;&gt;"",M250&lt;&gt;""),"Completed","Scheduled"))</f>
        <v/>
      </c>
    </row>
    <row r="251">
      <c r="A251" s="15" t="n"/>
      <c r="B251" s="16" t="n"/>
      <c r="C251" s="16" t="n"/>
      <c r="D251" s="17" t="n"/>
      <c r="E251" s="17" t="n"/>
      <c r="F251" s="16" t="n"/>
      <c r="G251" s="16" t="n"/>
      <c r="H251" s="16" t="n"/>
      <c r="I251" s="16" t="n"/>
      <c r="J251" s="16" t="n"/>
      <c r="K251" s="16" t="n"/>
      <c r="L251" s="18">
        <f>IF(AND(D251="",E251=""),"",IFERROR(IF(F251&lt;&gt;"",F251,0)+IF(H251&lt;&gt;"",H251,0)+IF(J251&lt;&gt;"",J251,0),""))</f>
        <v/>
      </c>
      <c r="M251" s="18">
        <f>IF(AND(D251="",E251=""),"",IFERROR(IF(G251&lt;&gt;"",G251,0)+IF(I251&lt;&gt;"",I251,0)+IF(K251&lt;&gt;"",K251,0),""))</f>
        <v/>
      </c>
      <c r="N251" s="18">
        <f>IF(OR(L251="",M251=""),"",IF(L251&gt;M251,D251,IF(M251&gt;L251,E251,"Draw")))</f>
        <v/>
      </c>
      <c r="O251" s="18">
        <f>IF(AND(D251="",E251=""),"",IF(AND(L251&lt;&gt;"",M251&lt;&gt;""),"Completed","Scheduled"))</f>
        <v/>
      </c>
    </row>
    <row r="252">
      <c r="A252" s="15" t="n"/>
      <c r="B252" s="16" t="n"/>
      <c r="C252" s="16" t="n"/>
      <c r="D252" s="17" t="n"/>
      <c r="E252" s="17" t="n"/>
      <c r="F252" s="16" t="n"/>
      <c r="G252" s="16" t="n"/>
      <c r="H252" s="16" t="n"/>
      <c r="I252" s="16" t="n"/>
      <c r="J252" s="16" t="n"/>
      <c r="K252" s="16" t="n"/>
      <c r="L252" s="18">
        <f>IF(AND(D252="",E252=""),"",IFERROR(IF(F252&lt;&gt;"",F252,0)+IF(H252&lt;&gt;"",H252,0)+IF(J252&lt;&gt;"",J252,0),""))</f>
        <v/>
      </c>
      <c r="M252" s="18">
        <f>IF(AND(D252="",E252=""),"",IFERROR(IF(G252&lt;&gt;"",G252,0)+IF(I252&lt;&gt;"",I252,0)+IF(K252&lt;&gt;"",K252,0),""))</f>
        <v/>
      </c>
      <c r="N252" s="18">
        <f>IF(OR(L252="",M252=""),"",IF(L252&gt;M252,D252,IF(M252&gt;L252,E252,"Draw")))</f>
        <v/>
      </c>
      <c r="O252" s="18">
        <f>IF(AND(D252="",E252=""),"",IF(AND(L252&lt;&gt;"",M252&lt;&gt;""),"Completed","Scheduled"))</f>
        <v/>
      </c>
    </row>
    <row r="253">
      <c r="A253" s="15" t="n"/>
      <c r="B253" s="16" t="n"/>
      <c r="C253" s="16" t="n"/>
      <c r="D253" s="17" t="n"/>
      <c r="E253" s="17" t="n"/>
      <c r="F253" s="16" t="n"/>
      <c r="G253" s="16" t="n"/>
      <c r="H253" s="16" t="n"/>
      <c r="I253" s="16" t="n"/>
      <c r="J253" s="16" t="n"/>
      <c r="K253" s="16" t="n"/>
      <c r="L253" s="18">
        <f>IF(AND(D253="",E253=""),"",IFERROR(IF(F253&lt;&gt;"",F253,0)+IF(H253&lt;&gt;"",H253,0)+IF(J253&lt;&gt;"",J253,0),""))</f>
        <v/>
      </c>
      <c r="M253" s="18">
        <f>IF(AND(D253="",E253=""),"",IFERROR(IF(G253&lt;&gt;"",G253,0)+IF(I253&lt;&gt;"",I253,0)+IF(K253&lt;&gt;"",K253,0),""))</f>
        <v/>
      </c>
      <c r="N253" s="18">
        <f>IF(OR(L253="",M253=""),"",IF(L253&gt;M253,D253,IF(M253&gt;L253,E253,"Draw")))</f>
        <v/>
      </c>
      <c r="O253" s="18">
        <f>IF(AND(D253="",E253=""),"",IF(AND(L253&lt;&gt;"",M253&lt;&gt;""),"Completed","Scheduled"))</f>
        <v/>
      </c>
    </row>
    <row r="254">
      <c r="A254" s="15" t="n"/>
      <c r="B254" s="16" t="n"/>
      <c r="C254" s="16" t="n"/>
      <c r="D254" s="17" t="n"/>
      <c r="E254" s="17" t="n"/>
      <c r="F254" s="16" t="n"/>
      <c r="G254" s="16" t="n"/>
      <c r="H254" s="16" t="n"/>
      <c r="I254" s="16" t="n"/>
      <c r="J254" s="16" t="n"/>
      <c r="K254" s="16" t="n"/>
      <c r="L254" s="18">
        <f>IF(AND(D254="",E254=""),"",IFERROR(IF(F254&lt;&gt;"",F254,0)+IF(H254&lt;&gt;"",H254,0)+IF(J254&lt;&gt;"",J254,0),""))</f>
        <v/>
      </c>
      <c r="M254" s="18">
        <f>IF(AND(D254="",E254=""),"",IFERROR(IF(G254&lt;&gt;"",G254,0)+IF(I254&lt;&gt;"",I254,0)+IF(K254&lt;&gt;"",K254,0),""))</f>
        <v/>
      </c>
      <c r="N254" s="18">
        <f>IF(OR(L254="",M254=""),"",IF(L254&gt;M254,D254,IF(M254&gt;L254,E254,"Draw")))</f>
        <v/>
      </c>
      <c r="O254" s="18">
        <f>IF(AND(D254="",E254=""),"",IF(AND(L254&lt;&gt;"",M254&lt;&gt;""),"Completed","Scheduled"))</f>
        <v/>
      </c>
    </row>
    <row r="255">
      <c r="A255" s="15" t="n"/>
      <c r="B255" s="16" t="n"/>
      <c r="C255" s="16" t="n"/>
      <c r="D255" s="17" t="n"/>
      <c r="E255" s="17" t="n"/>
      <c r="F255" s="16" t="n"/>
      <c r="G255" s="16" t="n"/>
      <c r="H255" s="16" t="n"/>
      <c r="I255" s="16" t="n"/>
      <c r="J255" s="16" t="n"/>
      <c r="K255" s="16" t="n"/>
      <c r="L255" s="18">
        <f>IF(AND(D255="",E255=""),"",IFERROR(IF(F255&lt;&gt;"",F255,0)+IF(H255&lt;&gt;"",H255,0)+IF(J255&lt;&gt;"",J255,0),""))</f>
        <v/>
      </c>
      <c r="M255" s="18">
        <f>IF(AND(D255="",E255=""),"",IFERROR(IF(G255&lt;&gt;"",G255,0)+IF(I255&lt;&gt;"",I255,0)+IF(K255&lt;&gt;"",K255,0),""))</f>
        <v/>
      </c>
      <c r="N255" s="18">
        <f>IF(OR(L255="",M255=""),"",IF(L255&gt;M255,D255,IF(M255&gt;L255,E255,"Draw")))</f>
        <v/>
      </c>
      <c r="O255" s="18">
        <f>IF(AND(D255="",E255=""),"",IF(AND(L255&lt;&gt;"",M255&lt;&gt;""),"Completed","Scheduled"))</f>
        <v/>
      </c>
    </row>
    <row r="256">
      <c r="A256" s="15" t="n"/>
      <c r="B256" s="16" t="n"/>
      <c r="C256" s="16" t="n"/>
      <c r="D256" s="17" t="n"/>
      <c r="E256" s="17" t="n"/>
      <c r="F256" s="16" t="n"/>
      <c r="G256" s="16" t="n"/>
      <c r="H256" s="16" t="n"/>
      <c r="I256" s="16" t="n"/>
      <c r="J256" s="16" t="n"/>
      <c r="K256" s="16" t="n"/>
      <c r="L256" s="18">
        <f>IF(AND(D256="",E256=""),"",IFERROR(IF(F256&lt;&gt;"",F256,0)+IF(H256&lt;&gt;"",H256,0)+IF(J256&lt;&gt;"",J256,0),""))</f>
        <v/>
      </c>
      <c r="M256" s="18">
        <f>IF(AND(D256="",E256=""),"",IFERROR(IF(G256&lt;&gt;"",G256,0)+IF(I256&lt;&gt;"",I256,0)+IF(K256&lt;&gt;"",K256,0),""))</f>
        <v/>
      </c>
      <c r="N256" s="18">
        <f>IF(OR(L256="",M256=""),"",IF(L256&gt;M256,D256,IF(M256&gt;L256,E256,"Draw")))</f>
        <v/>
      </c>
      <c r="O256" s="18">
        <f>IF(AND(D256="",E256=""),"",IF(AND(L256&lt;&gt;"",M256&lt;&gt;""),"Completed","Scheduled"))</f>
        <v/>
      </c>
    </row>
    <row r="257">
      <c r="A257" s="15" t="n"/>
      <c r="B257" s="16" t="n"/>
      <c r="C257" s="16" t="n"/>
      <c r="D257" s="17" t="n"/>
      <c r="E257" s="17" t="n"/>
      <c r="F257" s="16" t="n"/>
      <c r="G257" s="16" t="n"/>
      <c r="H257" s="16" t="n"/>
      <c r="I257" s="16" t="n"/>
      <c r="J257" s="16" t="n"/>
      <c r="K257" s="16" t="n"/>
      <c r="L257" s="18">
        <f>IF(AND(D257="",E257=""),"",IFERROR(IF(F257&lt;&gt;"",F257,0)+IF(H257&lt;&gt;"",H257,0)+IF(J257&lt;&gt;"",J257,0),""))</f>
        <v/>
      </c>
      <c r="M257" s="18">
        <f>IF(AND(D257="",E257=""),"",IFERROR(IF(G257&lt;&gt;"",G257,0)+IF(I257&lt;&gt;"",I257,0)+IF(K257&lt;&gt;"",K257,0),""))</f>
        <v/>
      </c>
      <c r="N257" s="18">
        <f>IF(OR(L257="",M257=""),"",IF(L257&gt;M257,D257,IF(M257&gt;L257,E257,"Draw")))</f>
        <v/>
      </c>
      <c r="O257" s="18">
        <f>IF(AND(D257="",E257=""),"",IF(AND(L257&lt;&gt;"",M257&lt;&gt;""),"Completed","Scheduled"))</f>
        <v/>
      </c>
    </row>
    <row r="258">
      <c r="A258" s="15" t="n"/>
      <c r="B258" s="16" t="n"/>
      <c r="C258" s="16" t="n"/>
      <c r="D258" s="17" t="n"/>
      <c r="E258" s="17" t="n"/>
      <c r="F258" s="16" t="n"/>
      <c r="G258" s="16" t="n"/>
      <c r="H258" s="16" t="n"/>
      <c r="I258" s="16" t="n"/>
      <c r="J258" s="16" t="n"/>
      <c r="K258" s="16" t="n"/>
      <c r="L258" s="18">
        <f>IF(AND(D258="",E258=""),"",IFERROR(IF(F258&lt;&gt;"",F258,0)+IF(H258&lt;&gt;"",H258,0)+IF(J258&lt;&gt;"",J258,0),""))</f>
        <v/>
      </c>
      <c r="M258" s="18">
        <f>IF(AND(D258="",E258=""),"",IFERROR(IF(G258&lt;&gt;"",G258,0)+IF(I258&lt;&gt;"",I258,0)+IF(K258&lt;&gt;"",K258,0),""))</f>
        <v/>
      </c>
      <c r="N258" s="18">
        <f>IF(OR(L258="",M258=""),"",IF(L258&gt;M258,D258,IF(M258&gt;L258,E258,"Draw")))</f>
        <v/>
      </c>
      <c r="O258" s="18">
        <f>IF(AND(D258="",E258=""),"",IF(AND(L258&lt;&gt;"",M258&lt;&gt;""),"Completed","Scheduled"))</f>
        <v/>
      </c>
    </row>
    <row r="259">
      <c r="A259" s="15" t="n"/>
      <c r="B259" s="16" t="n"/>
      <c r="C259" s="16" t="n"/>
      <c r="D259" s="17" t="n"/>
      <c r="E259" s="17" t="n"/>
      <c r="F259" s="16" t="n"/>
      <c r="G259" s="16" t="n"/>
      <c r="H259" s="16" t="n"/>
      <c r="I259" s="16" t="n"/>
      <c r="J259" s="16" t="n"/>
      <c r="K259" s="16" t="n"/>
      <c r="L259" s="18">
        <f>IF(AND(D259="",E259=""),"",IFERROR(IF(F259&lt;&gt;"",F259,0)+IF(H259&lt;&gt;"",H259,0)+IF(J259&lt;&gt;"",J259,0),""))</f>
        <v/>
      </c>
      <c r="M259" s="18">
        <f>IF(AND(D259="",E259=""),"",IFERROR(IF(G259&lt;&gt;"",G259,0)+IF(I259&lt;&gt;"",I259,0)+IF(K259&lt;&gt;"",K259,0),""))</f>
        <v/>
      </c>
      <c r="N259" s="18">
        <f>IF(OR(L259="",M259=""),"",IF(L259&gt;M259,D259,IF(M259&gt;L259,E259,"Draw")))</f>
        <v/>
      </c>
      <c r="O259" s="18">
        <f>IF(AND(D259="",E259=""),"",IF(AND(L259&lt;&gt;"",M259&lt;&gt;""),"Completed","Scheduled"))</f>
        <v/>
      </c>
    </row>
    <row r="260">
      <c r="A260" s="15" t="n"/>
      <c r="B260" s="16" t="n"/>
      <c r="C260" s="16" t="n"/>
      <c r="D260" s="17" t="n"/>
      <c r="E260" s="17" t="n"/>
      <c r="F260" s="16" t="n"/>
      <c r="G260" s="16" t="n"/>
      <c r="H260" s="16" t="n"/>
      <c r="I260" s="16" t="n"/>
      <c r="J260" s="16" t="n"/>
      <c r="K260" s="16" t="n"/>
      <c r="L260" s="18">
        <f>IF(AND(D260="",E260=""),"",IFERROR(IF(F260&lt;&gt;"",F260,0)+IF(H260&lt;&gt;"",H260,0)+IF(J260&lt;&gt;"",J260,0),""))</f>
        <v/>
      </c>
      <c r="M260" s="18">
        <f>IF(AND(D260="",E260=""),"",IFERROR(IF(G260&lt;&gt;"",G260,0)+IF(I260&lt;&gt;"",I260,0)+IF(K260&lt;&gt;"",K260,0),""))</f>
        <v/>
      </c>
      <c r="N260" s="18">
        <f>IF(OR(L260="",M260=""),"",IF(L260&gt;M260,D260,IF(M260&gt;L260,E260,"Draw")))</f>
        <v/>
      </c>
      <c r="O260" s="18">
        <f>IF(AND(D260="",E260=""),"",IF(AND(L260&lt;&gt;"",M260&lt;&gt;""),"Completed","Scheduled"))</f>
        <v/>
      </c>
    </row>
    <row r="261">
      <c r="A261" s="15" t="n"/>
      <c r="B261" s="16" t="n"/>
      <c r="C261" s="16" t="n"/>
      <c r="D261" s="17" t="n"/>
      <c r="E261" s="17" t="n"/>
      <c r="F261" s="16" t="n"/>
      <c r="G261" s="16" t="n"/>
      <c r="H261" s="16" t="n"/>
      <c r="I261" s="16" t="n"/>
      <c r="J261" s="16" t="n"/>
      <c r="K261" s="16" t="n"/>
      <c r="L261" s="18">
        <f>IF(AND(D261="",E261=""),"",IFERROR(IF(F261&lt;&gt;"",F261,0)+IF(H261&lt;&gt;"",H261,0)+IF(J261&lt;&gt;"",J261,0),""))</f>
        <v/>
      </c>
      <c r="M261" s="18">
        <f>IF(AND(D261="",E261=""),"",IFERROR(IF(G261&lt;&gt;"",G261,0)+IF(I261&lt;&gt;"",I261,0)+IF(K261&lt;&gt;"",K261,0),""))</f>
        <v/>
      </c>
      <c r="N261" s="18">
        <f>IF(OR(L261="",M261=""),"",IF(L261&gt;M261,D261,IF(M261&gt;L261,E261,"Draw")))</f>
        <v/>
      </c>
      <c r="O261" s="18">
        <f>IF(AND(D261="",E261=""),"",IF(AND(L261&lt;&gt;"",M261&lt;&gt;""),"Completed","Scheduled"))</f>
        <v/>
      </c>
    </row>
    <row r="262">
      <c r="A262" s="15" t="n"/>
      <c r="B262" s="16" t="n"/>
      <c r="C262" s="16" t="n"/>
      <c r="D262" s="17" t="n"/>
      <c r="E262" s="17" t="n"/>
      <c r="F262" s="16" t="n"/>
      <c r="G262" s="16" t="n"/>
      <c r="H262" s="16" t="n"/>
      <c r="I262" s="16" t="n"/>
      <c r="J262" s="16" t="n"/>
      <c r="K262" s="16" t="n"/>
      <c r="L262" s="18">
        <f>IF(AND(D262="",E262=""),"",IFERROR(IF(F262&lt;&gt;"",F262,0)+IF(H262&lt;&gt;"",H262,0)+IF(J262&lt;&gt;"",J262,0),""))</f>
        <v/>
      </c>
      <c r="M262" s="18">
        <f>IF(AND(D262="",E262=""),"",IFERROR(IF(G262&lt;&gt;"",G262,0)+IF(I262&lt;&gt;"",I262,0)+IF(K262&lt;&gt;"",K262,0),""))</f>
        <v/>
      </c>
      <c r="N262" s="18">
        <f>IF(OR(L262="",M262=""),"",IF(L262&gt;M262,D262,IF(M262&gt;L262,E262,"Draw")))</f>
        <v/>
      </c>
      <c r="O262" s="18">
        <f>IF(AND(D262="",E262=""),"",IF(AND(L262&lt;&gt;"",M262&lt;&gt;""),"Completed","Scheduled"))</f>
        <v/>
      </c>
    </row>
    <row r="263">
      <c r="A263" s="15" t="n"/>
      <c r="B263" s="16" t="n"/>
      <c r="C263" s="16" t="n"/>
      <c r="D263" s="17" t="n"/>
      <c r="E263" s="17" t="n"/>
      <c r="F263" s="16" t="n"/>
      <c r="G263" s="16" t="n"/>
      <c r="H263" s="16" t="n"/>
      <c r="I263" s="16" t="n"/>
      <c r="J263" s="16" t="n"/>
      <c r="K263" s="16" t="n"/>
      <c r="L263" s="18">
        <f>IF(AND(D263="",E263=""),"",IFERROR(IF(F263&lt;&gt;"",F263,0)+IF(H263&lt;&gt;"",H263,0)+IF(J263&lt;&gt;"",J263,0),""))</f>
        <v/>
      </c>
      <c r="M263" s="18">
        <f>IF(AND(D263="",E263=""),"",IFERROR(IF(G263&lt;&gt;"",G263,0)+IF(I263&lt;&gt;"",I263,0)+IF(K263&lt;&gt;"",K263,0),""))</f>
        <v/>
      </c>
      <c r="N263" s="18">
        <f>IF(OR(L263="",M263=""),"",IF(L263&gt;M263,D263,IF(M263&gt;L263,E263,"Draw")))</f>
        <v/>
      </c>
      <c r="O263" s="18">
        <f>IF(AND(D263="",E263=""),"",IF(AND(L263&lt;&gt;"",M263&lt;&gt;""),"Completed","Scheduled"))</f>
        <v/>
      </c>
    </row>
    <row r="264">
      <c r="A264" s="15" t="n"/>
      <c r="B264" s="16" t="n"/>
      <c r="C264" s="16" t="n"/>
      <c r="D264" s="17" t="n"/>
      <c r="E264" s="17" t="n"/>
      <c r="F264" s="16" t="n"/>
      <c r="G264" s="16" t="n"/>
      <c r="H264" s="16" t="n"/>
      <c r="I264" s="16" t="n"/>
      <c r="J264" s="16" t="n"/>
      <c r="K264" s="16" t="n"/>
      <c r="L264" s="18">
        <f>IF(AND(D264="",E264=""),"",IFERROR(IF(F264&lt;&gt;"",F264,0)+IF(H264&lt;&gt;"",H264,0)+IF(J264&lt;&gt;"",J264,0),""))</f>
        <v/>
      </c>
      <c r="M264" s="18">
        <f>IF(AND(D264="",E264=""),"",IFERROR(IF(G264&lt;&gt;"",G264,0)+IF(I264&lt;&gt;"",I264,0)+IF(K264&lt;&gt;"",K264,0),""))</f>
        <v/>
      </c>
      <c r="N264" s="18">
        <f>IF(OR(L264="",M264=""),"",IF(L264&gt;M264,D264,IF(M264&gt;L264,E264,"Draw")))</f>
        <v/>
      </c>
      <c r="O264" s="18">
        <f>IF(AND(D264="",E264=""),"",IF(AND(L264&lt;&gt;"",M264&lt;&gt;""),"Completed","Scheduled"))</f>
        <v/>
      </c>
    </row>
    <row r="265">
      <c r="A265" s="15" t="n"/>
      <c r="B265" s="16" t="n"/>
      <c r="C265" s="16" t="n"/>
      <c r="D265" s="17" t="n"/>
      <c r="E265" s="17" t="n"/>
      <c r="F265" s="16" t="n"/>
      <c r="G265" s="16" t="n"/>
      <c r="H265" s="16" t="n"/>
      <c r="I265" s="16" t="n"/>
      <c r="J265" s="16" t="n"/>
      <c r="K265" s="16" t="n"/>
      <c r="L265" s="18">
        <f>IF(AND(D265="",E265=""),"",IFERROR(IF(F265&lt;&gt;"",F265,0)+IF(H265&lt;&gt;"",H265,0)+IF(J265&lt;&gt;"",J265,0),""))</f>
        <v/>
      </c>
      <c r="M265" s="18">
        <f>IF(AND(D265="",E265=""),"",IFERROR(IF(G265&lt;&gt;"",G265,0)+IF(I265&lt;&gt;"",I265,0)+IF(K265&lt;&gt;"",K265,0),""))</f>
        <v/>
      </c>
      <c r="N265" s="18">
        <f>IF(OR(L265="",M265=""),"",IF(L265&gt;M265,D265,IF(M265&gt;L265,E265,"Draw")))</f>
        <v/>
      </c>
      <c r="O265" s="18">
        <f>IF(AND(D265="",E265=""),"",IF(AND(L265&lt;&gt;"",M265&lt;&gt;""),"Completed","Scheduled"))</f>
        <v/>
      </c>
    </row>
    <row r="266">
      <c r="A266" s="15" t="n"/>
      <c r="B266" s="16" t="n"/>
      <c r="C266" s="16" t="n"/>
      <c r="D266" s="17" t="n"/>
      <c r="E266" s="17" t="n"/>
      <c r="F266" s="16" t="n"/>
      <c r="G266" s="16" t="n"/>
      <c r="H266" s="16" t="n"/>
      <c r="I266" s="16" t="n"/>
      <c r="J266" s="16" t="n"/>
      <c r="K266" s="16" t="n"/>
      <c r="L266" s="18">
        <f>IF(AND(D266="",E266=""),"",IFERROR(IF(F266&lt;&gt;"",F266,0)+IF(H266&lt;&gt;"",H266,0)+IF(J266&lt;&gt;"",J266,0),""))</f>
        <v/>
      </c>
      <c r="M266" s="18">
        <f>IF(AND(D266="",E266=""),"",IFERROR(IF(G266&lt;&gt;"",G266,0)+IF(I266&lt;&gt;"",I266,0)+IF(K266&lt;&gt;"",K266,0),""))</f>
        <v/>
      </c>
      <c r="N266" s="18">
        <f>IF(OR(L266="",M266=""),"",IF(L266&gt;M266,D266,IF(M266&gt;L266,E266,"Draw")))</f>
        <v/>
      </c>
      <c r="O266" s="18">
        <f>IF(AND(D266="",E266=""),"",IF(AND(L266&lt;&gt;"",M266&lt;&gt;""),"Completed","Scheduled"))</f>
        <v/>
      </c>
    </row>
    <row r="267">
      <c r="A267" s="15" t="n"/>
      <c r="B267" s="16" t="n"/>
      <c r="C267" s="16" t="n"/>
      <c r="D267" s="17" t="n"/>
      <c r="E267" s="17" t="n"/>
      <c r="F267" s="16" t="n"/>
      <c r="G267" s="16" t="n"/>
      <c r="H267" s="16" t="n"/>
      <c r="I267" s="16" t="n"/>
      <c r="J267" s="16" t="n"/>
      <c r="K267" s="16" t="n"/>
      <c r="L267" s="18">
        <f>IF(AND(D267="",E267=""),"",IFERROR(IF(F267&lt;&gt;"",F267,0)+IF(H267&lt;&gt;"",H267,0)+IF(J267&lt;&gt;"",J267,0),""))</f>
        <v/>
      </c>
      <c r="M267" s="18">
        <f>IF(AND(D267="",E267=""),"",IFERROR(IF(G267&lt;&gt;"",G267,0)+IF(I267&lt;&gt;"",I267,0)+IF(K267&lt;&gt;"",K267,0),""))</f>
        <v/>
      </c>
      <c r="N267" s="18">
        <f>IF(OR(L267="",M267=""),"",IF(L267&gt;M267,D267,IF(M267&gt;L267,E267,"Draw")))</f>
        <v/>
      </c>
      <c r="O267" s="18">
        <f>IF(AND(D267="",E267=""),"",IF(AND(L267&lt;&gt;"",M267&lt;&gt;""),"Completed","Scheduled"))</f>
        <v/>
      </c>
    </row>
    <row r="268">
      <c r="A268" s="15" t="n"/>
      <c r="B268" s="16" t="n"/>
      <c r="C268" s="16" t="n"/>
      <c r="D268" s="17" t="n"/>
      <c r="E268" s="17" t="n"/>
      <c r="F268" s="16" t="n"/>
      <c r="G268" s="16" t="n"/>
      <c r="H268" s="16" t="n"/>
      <c r="I268" s="16" t="n"/>
      <c r="J268" s="16" t="n"/>
      <c r="K268" s="16" t="n"/>
      <c r="L268" s="18">
        <f>IF(AND(D268="",E268=""),"",IFERROR(IF(F268&lt;&gt;"",F268,0)+IF(H268&lt;&gt;"",H268,0)+IF(J268&lt;&gt;"",J268,0),""))</f>
        <v/>
      </c>
      <c r="M268" s="18">
        <f>IF(AND(D268="",E268=""),"",IFERROR(IF(G268&lt;&gt;"",G268,0)+IF(I268&lt;&gt;"",I268,0)+IF(K268&lt;&gt;"",K268,0),""))</f>
        <v/>
      </c>
      <c r="N268" s="18">
        <f>IF(OR(L268="",M268=""),"",IF(L268&gt;M268,D268,IF(M268&gt;L268,E268,"Draw")))</f>
        <v/>
      </c>
      <c r="O268" s="18">
        <f>IF(AND(D268="",E268=""),"",IF(AND(L268&lt;&gt;"",M268&lt;&gt;""),"Completed","Scheduled"))</f>
        <v/>
      </c>
    </row>
    <row r="269">
      <c r="A269" s="15" t="n"/>
      <c r="B269" s="16" t="n"/>
      <c r="C269" s="16" t="n"/>
      <c r="D269" s="17" t="n"/>
      <c r="E269" s="17" t="n"/>
      <c r="F269" s="16" t="n"/>
      <c r="G269" s="16" t="n"/>
      <c r="H269" s="16" t="n"/>
      <c r="I269" s="16" t="n"/>
      <c r="J269" s="16" t="n"/>
      <c r="K269" s="16" t="n"/>
      <c r="L269" s="18">
        <f>IF(AND(D269="",E269=""),"",IFERROR(IF(F269&lt;&gt;"",F269,0)+IF(H269&lt;&gt;"",H269,0)+IF(J269&lt;&gt;"",J269,0),""))</f>
        <v/>
      </c>
      <c r="M269" s="18">
        <f>IF(AND(D269="",E269=""),"",IFERROR(IF(G269&lt;&gt;"",G269,0)+IF(I269&lt;&gt;"",I269,0)+IF(K269&lt;&gt;"",K269,0),""))</f>
        <v/>
      </c>
      <c r="N269" s="18">
        <f>IF(OR(L269="",M269=""),"",IF(L269&gt;M269,D269,IF(M269&gt;L269,E269,"Draw")))</f>
        <v/>
      </c>
      <c r="O269" s="18">
        <f>IF(AND(D269="",E269=""),"",IF(AND(L269&lt;&gt;"",M269&lt;&gt;""),"Completed","Scheduled"))</f>
        <v/>
      </c>
    </row>
    <row r="270">
      <c r="A270" s="15" t="n"/>
      <c r="B270" s="16" t="n"/>
      <c r="C270" s="16" t="n"/>
      <c r="D270" s="17" t="n"/>
      <c r="E270" s="17" t="n"/>
      <c r="F270" s="16" t="n"/>
      <c r="G270" s="16" t="n"/>
      <c r="H270" s="16" t="n"/>
      <c r="I270" s="16" t="n"/>
      <c r="J270" s="16" t="n"/>
      <c r="K270" s="16" t="n"/>
      <c r="L270" s="18">
        <f>IF(AND(D270="",E270=""),"",IFERROR(IF(F270&lt;&gt;"",F270,0)+IF(H270&lt;&gt;"",H270,0)+IF(J270&lt;&gt;"",J270,0),""))</f>
        <v/>
      </c>
      <c r="M270" s="18">
        <f>IF(AND(D270="",E270=""),"",IFERROR(IF(G270&lt;&gt;"",G270,0)+IF(I270&lt;&gt;"",I270,0)+IF(K270&lt;&gt;"",K270,0),""))</f>
        <v/>
      </c>
      <c r="N270" s="18">
        <f>IF(OR(L270="",M270=""),"",IF(L270&gt;M270,D270,IF(M270&gt;L270,E270,"Draw")))</f>
        <v/>
      </c>
      <c r="O270" s="18">
        <f>IF(AND(D270="",E270=""),"",IF(AND(L270&lt;&gt;"",M270&lt;&gt;""),"Completed","Scheduled"))</f>
        <v/>
      </c>
    </row>
    <row r="271">
      <c r="A271" s="15" t="n"/>
      <c r="B271" s="16" t="n"/>
      <c r="C271" s="16" t="n"/>
      <c r="D271" s="17" t="n"/>
      <c r="E271" s="17" t="n"/>
      <c r="F271" s="16" t="n"/>
      <c r="G271" s="16" t="n"/>
      <c r="H271" s="16" t="n"/>
      <c r="I271" s="16" t="n"/>
      <c r="J271" s="16" t="n"/>
      <c r="K271" s="16" t="n"/>
      <c r="L271" s="18">
        <f>IF(AND(D271="",E271=""),"",IFERROR(IF(F271&lt;&gt;"",F271,0)+IF(H271&lt;&gt;"",H271,0)+IF(J271&lt;&gt;"",J271,0),""))</f>
        <v/>
      </c>
      <c r="M271" s="18">
        <f>IF(AND(D271="",E271=""),"",IFERROR(IF(G271&lt;&gt;"",G271,0)+IF(I271&lt;&gt;"",I271,0)+IF(K271&lt;&gt;"",K271,0),""))</f>
        <v/>
      </c>
      <c r="N271" s="18">
        <f>IF(OR(L271="",M271=""),"",IF(L271&gt;M271,D271,IF(M271&gt;L271,E271,"Draw")))</f>
        <v/>
      </c>
      <c r="O271" s="18">
        <f>IF(AND(D271="",E271=""),"",IF(AND(L271&lt;&gt;"",M271&lt;&gt;""),"Completed","Scheduled"))</f>
        <v/>
      </c>
    </row>
    <row r="272">
      <c r="A272" s="15" t="n"/>
      <c r="B272" s="16" t="n"/>
      <c r="C272" s="16" t="n"/>
      <c r="D272" s="17" t="n"/>
      <c r="E272" s="17" t="n"/>
      <c r="F272" s="16" t="n"/>
      <c r="G272" s="16" t="n"/>
      <c r="H272" s="16" t="n"/>
      <c r="I272" s="16" t="n"/>
      <c r="J272" s="16" t="n"/>
      <c r="K272" s="16" t="n"/>
      <c r="L272" s="18">
        <f>IF(AND(D272="",E272=""),"",IFERROR(IF(F272&lt;&gt;"",F272,0)+IF(H272&lt;&gt;"",H272,0)+IF(J272&lt;&gt;"",J272,0),""))</f>
        <v/>
      </c>
      <c r="M272" s="18">
        <f>IF(AND(D272="",E272=""),"",IFERROR(IF(G272&lt;&gt;"",G272,0)+IF(I272&lt;&gt;"",I272,0)+IF(K272&lt;&gt;"",K272,0),""))</f>
        <v/>
      </c>
      <c r="N272" s="18">
        <f>IF(OR(L272="",M272=""),"",IF(L272&gt;M272,D272,IF(M272&gt;L272,E272,"Draw")))</f>
        <v/>
      </c>
      <c r="O272" s="18">
        <f>IF(AND(D272="",E272=""),"",IF(AND(L272&lt;&gt;"",M272&lt;&gt;""),"Completed","Scheduled"))</f>
        <v/>
      </c>
    </row>
    <row r="273">
      <c r="A273" s="15" t="n"/>
      <c r="B273" s="16" t="n"/>
      <c r="C273" s="16" t="n"/>
      <c r="D273" s="17" t="n"/>
      <c r="E273" s="17" t="n"/>
      <c r="F273" s="16" t="n"/>
      <c r="G273" s="16" t="n"/>
      <c r="H273" s="16" t="n"/>
      <c r="I273" s="16" t="n"/>
      <c r="J273" s="16" t="n"/>
      <c r="K273" s="16" t="n"/>
      <c r="L273" s="18">
        <f>IF(AND(D273="",E273=""),"",IFERROR(IF(F273&lt;&gt;"",F273,0)+IF(H273&lt;&gt;"",H273,0)+IF(J273&lt;&gt;"",J273,0),""))</f>
        <v/>
      </c>
      <c r="M273" s="18">
        <f>IF(AND(D273="",E273=""),"",IFERROR(IF(G273&lt;&gt;"",G273,0)+IF(I273&lt;&gt;"",I273,0)+IF(K273&lt;&gt;"",K273,0),""))</f>
        <v/>
      </c>
      <c r="N273" s="18">
        <f>IF(OR(L273="",M273=""),"",IF(L273&gt;M273,D273,IF(M273&gt;L273,E273,"Draw")))</f>
        <v/>
      </c>
      <c r="O273" s="18">
        <f>IF(AND(D273="",E273=""),"",IF(AND(L273&lt;&gt;"",M273&lt;&gt;""),"Completed","Scheduled"))</f>
        <v/>
      </c>
    </row>
    <row r="274">
      <c r="A274" s="15" t="n"/>
      <c r="B274" s="16" t="n"/>
      <c r="C274" s="16" t="n"/>
      <c r="D274" s="17" t="n"/>
      <c r="E274" s="17" t="n"/>
      <c r="F274" s="16" t="n"/>
      <c r="G274" s="16" t="n"/>
      <c r="H274" s="16" t="n"/>
      <c r="I274" s="16" t="n"/>
      <c r="J274" s="16" t="n"/>
      <c r="K274" s="16" t="n"/>
      <c r="L274" s="18">
        <f>IF(AND(D274="",E274=""),"",IFERROR(IF(F274&lt;&gt;"",F274,0)+IF(H274&lt;&gt;"",H274,0)+IF(J274&lt;&gt;"",J274,0),""))</f>
        <v/>
      </c>
      <c r="M274" s="18">
        <f>IF(AND(D274="",E274=""),"",IFERROR(IF(G274&lt;&gt;"",G274,0)+IF(I274&lt;&gt;"",I274,0)+IF(K274&lt;&gt;"",K274,0),""))</f>
        <v/>
      </c>
      <c r="N274" s="18">
        <f>IF(OR(L274="",M274=""),"",IF(L274&gt;M274,D274,IF(M274&gt;L274,E274,"Draw")))</f>
        <v/>
      </c>
      <c r="O274" s="18">
        <f>IF(AND(D274="",E274=""),"",IF(AND(L274&lt;&gt;"",M274&lt;&gt;""),"Completed","Scheduled"))</f>
        <v/>
      </c>
    </row>
    <row r="275">
      <c r="A275" s="15" t="n"/>
      <c r="B275" s="16" t="n"/>
      <c r="C275" s="16" t="n"/>
      <c r="D275" s="17" t="n"/>
      <c r="E275" s="17" t="n"/>
      <c r="F275" s="16" t="n"/>
      <c r="G275" s="16" t="n"/>
      <c r="H275" s="16" t="n"/>
      <c r="I275" s="16" t="n"/>
      <c r="J275" s="16" t="n"/>
      <c r="K275" s="16" t="n"/>
      <c r="L275" s="18">
        <f>IF(AND(D275="",E275=""),"",IFERROR(IF(F275&lt;&gt;"",F275,0)+IF(H275&lt;&gt;"",H275,0)+IF(J275&lt;&gt;"",J275,0),""))</f>
        <v/>
      </c>
      <c r="M275" s="18">
        <f>IF(AND(D275="",E275=""),"",IFERROR(IF(G275&lt;&gt;"",G275,0)+IF(I275&lt;&gt;"",I275,0)+IF(K275&lt;&gt;"",K275,0),""))</f>
        <v/>
      </c>
      <c r="N275" s="18">
        <f>IF(OR(L275="",M275=""),"",IF(L275&gt;M275,D275,IF(M275&gt;L275,E275,"Draw")))</f>
        <v/>
      </c>
      <c r="O275" s="18">
        <f>IF(AND(D275="",E275=""),"",IF(AND(L275&lt;&gt;"",M275&lt;&gt;""),"Completed","Scheduled"))</f>
        <v/>
      </c>
    </row>
    <row r="276">
      <c r="A276" s="15" t="n"/>
      <c r="B276" s="16" t="n"/>
      <c r="C276" s="16" t="n"/>
      <c r="D276" s="17" t="n"/>
      <c r="E276" s="17" t="n"/>
      <c r="F276" s="16" t="n"/>
      <c r="G276" s="16" t="n"/>
      <c r="H276" s="16" t="n"/>
      <c r="I276" s="16" t="n"/>
      <c r="J276" s="16" t="n"/>
      <c r="K276" s="16" t="n"/>
      <c r="L276" s="18">
        <f>IF(AND(D276="",E276=""),"",IFERROR(IF(F276&lt;&gt;"",F276,0)+IF(H276&lt;&gt;"",H276,0)+IF(J276&lt;&gt;"",J276,0),""))</f>
        <v/>
      </c>
      <c r="M276" s="18">
        <f>IF(AND(D276="",E276=""),"",IFERROR(IF(G276&lt;&gt;"",G276,0)+IF(I276&lt;&gt;"",I276,0)+IF(K276&lt;&gt;"",K276,0),""))</f>
        <v/>
      </c>
      <c r="N276" s="18">
        <f>IF(OR(L276="",M276=""),"",IF(L276&gt;M276,D276,IF(M276&gt;L276,E276,"Draw")))</f>
        <v/>
      </c>
      <c r="O276" s="18">
        <f>IF(AND(D276="",E276=""),"",IF(AND(L276&lt;&gt;"",M276&lt;&gt;""),"Completed","Scheduled"))</f>
        <v/>
      </c>
    </row>
    <row r="277">
      <c r="A277" s="15" t="n"/>
      <c r="B277" s="16" t="n"/>
      <c r="C277" s="16" t="n"/>
      <c r="D277" s="17" t="n"/>
      <c r="E277" s="17" t="n"/>
      <c r="F277" s="16" t="n"/>
      <c r="G277" s="16" t="n"/>
      <c r="H277" s="16" t="n"/>
      <c r="I277" s="16" t="n"/>
      <c r="J277" s="16" t="n"/>
      <c r="K277" s="16" t="n"/>
      <c r="L277" s="18">
        <f>IF(AND(D277="",E277=""),"",IFERROR(IF(F277&lt;&gt;"",F277,0)+IF(H277&lt;&gt;"",H277,0)+IF(J277&lt;&gt;"",J277,0),""))</f>
        <v/>
      </c>
      <c r="M277" s="18">
        <f>IF(AND(D277="",E277=""),"",IFERROR(IF(G277&lt;&gt;"",G277,0)+IF(I277&lt;&gt;"",I277,0)+IF(K277&lt;&gt;"",K277,0),""))</f>
        <v/>
      </c>
      <c r="N277" s="18">
        <f>IF(OR(L277="",M277=""),"",IF(L277&gt;M277,D277,IF(M277&gt;L277,E277,"Draw")))</f>
        <v/>
      </c>
      <c r="O277" s="18">
        <f>IF(AND(D277="",E277=""),"",IF(AND(L277&lt;&gt;"",M277&lt;&gt;""),"Completed","Scheduled"))</f>
        <v/>
      </c>
    </row>
    <row r="278">
      <c r="A278" s="15" t="n"/>
      <c r="B278" s="16" t="n"/>
      <c r="C278" s="16" t="n"/>
      <c r="D278" s="17" t="n"/>
      <c r="E278" s="17" t="n"/>
      <c r="F278" s="16" t="n"/>
      <c r="G278" s="16" t="n"/>
      <c r="H278" s="16" t="n"/>
      <c r="I278" s="16" t="n"/>
      <c r="J278" s="16" t="n"/>
      <c r="K278" s="16" t="n"/>
      <c r="L278" s="18">
        <f>IF(AND(D278="",E278=""),"",IFERROR(IF(F278&lt;&gt;"",F278,0)+IF(H278&lt;&gt;"",H278,0)+IF(J278&lt;&gt;"",J278,0),""))</f>
        <v/>
      </c>
      <c r="M278" s="18">
        <f>IF(AND(D278="",E278=""),"",IFERROR(IF(G278&lt;&gt;"",G278,0)+IF(I278&lt;&gt;"",I278,0)+IF(K278&lt;&gt;"",K278,0),""))</f>
        <v/>
      </c>
      <c r="N278" s="18">
        <f>IF(OR(L278="",M278=""),"",IF(L278&gt;M278,D278,IF(M278&gt;L278,E278,"Draw")))</f>
        <v/>
      </c>
      <c r="O278" s="18">
        <f>IF(AND(D278="",E278=""),"",IF(AND(L278&lt;&gt;"",M278&lt;&gt;""),"Completed","Scheduled"))</f>
        <v/>
      </c>
    </row>
    <row r="279">
      <c r="A279" s="15" t="n"/>
      <c r="B279" s="16" t="n"/>
      <c r="C279" s="16" t="n"/>
      <c r="D279" s="17" t="n"/>
      <c r="E279" s="17" t="n"/>
      <c r="F279" s="16" t="n"/>
      <c r="G279" s="16" t="n"/>
      <c r="H279" s="16" t="n"/>
      <c r="I279" s="16" t="n"/>
      <c r="J279" s="16" t="n"/>
      <c r="K279" s="16" t="n"/>
      <c r="L279" s="18">
        <f>IF(AND(D279="",E279=""),"",IFERROR(IF(F279&lt;&gt;"",F279,0)+IF(H279&lt;&gt;"",H279,0)+IF(J279&lt;&gt;"",J279,0),""))</f>
        <v/>
      </c>
      <c r="M279" s="18">
        <f>IF(AND(D279="",E279=""),"",IFERROR(IF(G279&lt;&gt;"",G279,0)+IF(I279&lt;&gt;"",I279,0)+IF(K279&lt;&gt;"",K279,0),""))</f>
        <v/>
      </c>
      <c r="N279" s="18">
        <f>IF(OR(L279="",M279=""),"",IF(L279&gt;M279,D279,IF(M279&gt;L279,E279,"Draw")))</f>
        <v/>
      </c>
      <c r="O279" s="18">
        <f>IF(AND(D279="",E279=""),"",IF(AND(L279&lt;&gt;"",M279&lt;&gt;""),"Completed","Scheduled"))</f>
        <v/>
      </c>
    </row>
    <row r="280">
      <c r="A280" s="15" t="n"/>
      <c r="B280" s="16" t="n"/>
      <c r="C280" s="16" t="n"/>
      <c r="D280" s="17" t="n"/>
      <c r="E280" s="17" t="n"/>
      <c r="F280" s="16" t="n"/>
      <c r="G280" s="16" t="n"/>
      <c r="H280" s="16" t="n"/>
      <c r="I280" s="16" t="n"/>
      <c r="J280" s="16" t="n"/>
      <c r="K280" s="16" t="n"/>
      <c r="L280" s="18">
        <f>IF(AND(D280="",E280=""),"",IFERROR(IF(F280&lt;&gt;"",F280,0)+IF(H280&lt;&gt;"",H280,0)+IF(J280&lt;&gt;"",J280,0),""))</f>
        <v/>
      </c>
      <c r="M280" s="18">
        <f>IF(AND(D280="",E280=""),"",IFERROR(IF(G280&lt;&gt;"",G280,0)+IF(I280&lt;&gt;"",I280,0)+IF(K280&lt;&gt;"",K280,0),""))</f>
        <v/>
      </c>
      <c r="N280" s="18">
        <f>IF(OR(L280="",M280=""),"",IF(L280&gt;M280,D280,IF(M280&gt;L280,E280,"Draw")))</f>
        <v/>
      </c>
      <c r="O280" s="18">
        <f>IF(AND(D280="",E280=""),"",IF(AND(L280&lt;&gt;"",M280&lt;&gt;""),"Completed","Scheduled"))</f>
        <v/>
      </c>
    </row>
    <row r="281">
      <c r="A281" s="15" t="n"/>
      <c r="B281" s="16" t="n"/>
      <c r="C281" s="16" t="n"/>
      <c r="D281" s="17" t="n"/>
      <c r="E281" s="17" t="n"/>
      <c r="F281" s="16" t="n"/>
      <c r="G281" s="16" t="n"/>
      <c r="H281" s="16" t="n"/>
      <c r="I281" s="16" t="n"/>
      <c r="J281" s="16" t="n"/>
      <c r="K281" s="16" t="n"/>
      <c r="L281" s="18">
        <f>IF(AND(D281="",E281=""),"",IFERROR(IF(F281&lt;&gt;"",F281,0)+IF(H281&lt;&gt;"",H281,0)+IF(J281&lt;&gt;"",J281,0),""))</f>
        <v/>
      </c>
      <c r="M281" s="18">
        <f>IF(AND(D281="",E281=""),"",IFERROR(IF(G281&lt;&gt;"",G281,0)+IF(I281&lt;&gt;"",I281,0)+IF(K281&lt;&gt;"",K281,0),""))</f>
        <v/>
      </c>
      <c r="N281" s="18">
        <f>IF(OR(L281="",M281=""),"",IF(L281&gt;M281,D281,IF(M281&gt;L281,E281,"Draw")))</f>
        <v/>
      </c>
      <c r="O281" s="18">
        <f>IF(AND(D281="",E281=""),"",IF(AND(L281&lt;&gt;"",M281&lt;&gt;""),"Completed","Scheduled"))</f>
        <v/>
      </c>
    </row>
    <row r="282">
      <c r="A282" s="15" t="n"/>
      <c r="B282" s="16" t="n"/>
      <c r="C282" s="16" t="n"/>
      <c r="D282" s="17" t="n"/>
      <c r="E282" s="17" t="n"/>
      <c r="F282" s="16" t="n"/>
      <c r="G282" s="16" t="n"/>
      <c r="H282" s="16" t="n"/>
      <c r="I282" s="16" t="n"/>
      <c r="J282" s="16" t="n"/>
      <c r="K282" s="16" t="n"/>
      <c r="L282" s="18">
        <f>IF(AND(D282="",E282=""),"",IFERROR(IF(F282&lt;&gt;"",F282,0)+IF(H282&lt;&gt;"",H282,0)+IF(J282&lt;&gt;"",J282,0),""))</f>
        <v/>
      </c>
      <c r="M282" s="18">
        <f>IF(AND(D282="",E282=""),"",IFERROR(IF(G282&lt;&gt;"",G282,0)+IF(I282&lt;&gt;"",I282,0)+IF(K282&lt;&gt;"",K282,0),""))</f>
        <v/>
      </c>
      <c r="N282" s="18">
        <f>IF(OR(L282="",M282=""),"",IF(L282&gt;M282,D282,IF(M282&gt;L282,E282,"Draw")))</f>
        <v/>
      </c>
      <c r="O282" s="18">
        <f>IF(AND(D282="",E282=""),"",IF(AND(L282&lt;&gt;"",M282&lt;&gt;""),"Completed","Scheduled"))</f>
        <v/>
      </c>
    </row>
    <row r="283">
      <c r="A283" s="15" t="n"/>
      <c r="B283" s="16" t="n"/>
      <c r="C283" s="16" t="n"/>
      <c r="D283" s="17" t="n"/>
      <c r="E283" s="17" t="n"/>
      <c r="F283" s="16" t="n"/>
      <c r="G283" s="16" t="n"/>
      <c r="H283" s="16" t="n"/>
      <c r="I283" s="16" t="n"/>
      <c r="J283" s="16" t="n"/>
      <c r="K283" s="16" t="n"/>
      <c r="L283" s="18">
        <f>IF(AND(D283="",E283=""),"",IFERROR(IF(F283&lt;&gt;"",F283,0)+IF(H283&lt;&gt;"",H283,0)+IF(J283&lt;&gt;"",J283,0),""))</f>
        <v/>
      </c>
      <c r="M283" s="18">
        <f>IF(AND(D283="",E283=""),"",IFERROR(IF(G283&lt;&gt;"",G283,0)+IF(I283&lt;&gt;"",I283,0)+IF(K283&lt;&gt;"",K283,0),""))</f>
        <v/>
      </c>
      <c r="N283" s="18">
        <f>IF(OR(L283="",M283=""),"",IF(L283&gt;M283,D283,IF(M283&gt;L283,E283,"Draw")))</f>
        <v/>
      </c>
      <c r="O283" s="18">
        <f>IF(AND(D283="",E283=""),"",IF(AND(L283&lt;&gt;"",M283&lt;&gt;""),"Completed","Scheduled"))</f>
        <v/>
      </c>
    </row>
    <row r="284">
      <c r="A284" s="15" t="n"/>
      <c r="B284" s="16" t="n"/>
      <c r="C284" s="16" t="n"/>
      <c r="D284" s="17" t="n"/>
      <c r="E284" s="17" t="n"/>
      <c r="F284" s="16" t="n"/>
      <c r="G284" s="16" t="n"/>
      <c r="H284" s="16" t="n"/>
      <c r="I284" s="16" t="n"/>
      <c r="J284" s="16" t="n"/>
      <c r="K284" s="16" t="n"/>
      <c r="L284" s="18">
        <f>IF(AND(D284="",E284=""),"",IFERROR(IF(F284&lt;&gt;"",F284,0)+IF(H284&lt;&gt;"",H284,0)+IF(J284&lt;&gt;"",J284,0),""))</f>
        <v/>
      </c>
      <c r="M284" s="18">
        <f>IF(AND(D284="",E284=""),"",IFERROR(IF(G284&lt;&gt;"",G284,0)+IF(I284&lt;&gt;"",I284,0)+IF(K284&lt;&gt;"",K284,0),""))</f>
        <v/>
      </c>
      <c r="N284" s="18">
        <f>IF(OR(L284="",M284=""),"",IF(L284&gt;M284,D284,IF(M284&gt;L284,E284,"Draw")))</f>
        <v/>
      </c>
      <c r="O284" s="18">
        <f>IF(AND(D284="",E284=""),"",IF(AND(L284&lt;&gt;"",M284&lt;&gt;""),"Completed","Scheduled"))</f>
        <v/>
      </c>
    </row>
    <row r="285">
      <c r="A285" s="15" t="n"/>
      <c r="B285" s="16" t="n"/>
      <c r="C285" s="16" t="n"/>
      <c r="D285" s="17" t="n"/>
      <c r="E285" s="17" t="n"/>
      <c r="F285" s="16" t="n"/>
      <c r="G285" s="16" t="n"/>
      <c r="H285" s="16" t="n"/>
      <c r="I285" s="16" t="n"/>
      <c r="J285" s="16" t="n"/>
      <c r="K285" s="16" t="n"/>
      <c r="L285" s="18">
        <f>IF(AND(D285="",E285=""),"",IFERROR(IF(F285&lt;&gt;"",F285,0)+IF(H285&lt;&gt;"",H285,0)+IF(J285&lt;&gt;"",J285,0),""))</f>
        <v/>
      </c>
      <c r="M285" s="18">
        <f>IF(AND(D285="",E285=""),"",IFERROR(IF(G285&lt;&gt;"",G285,0)+IF(I285&lt;&gt;"",I285,0)+IF(K285&lt;&gt;"",K285,0),""))</f>
        <v/>
      </c>
      <c r="N285" s="18">
        <f>IF(OR(L285="",M285=""),"",IF(L285&gt;M285,D285,IF(M285&gt;L285,E285,"Draw")))</f>
        <v/>
      </c>
      <c r="O285" s="18">
        <f>IF(AND(D285="",E285=""),"",IF(AND(L285&lt;&gt;"",M285&lt;&gt;""),"Completed","Scheduled"))</f>
        <v/>
      </c>
    </row>
    <row r="286">
      <c r="A286" s="15" t="n"/>
      <c r="B286" s="16" t="n"/>
      <c r="C286" s="16" t="n"/>
      <c r="D286" s="17" t="n"/>
      <c r="E286" s="17" t="n"/>
      <c r="F286" s="16" t="n"/>
      <c r="G286" s="16" t="n"/>
      <c r="H286" s="16" t="n"/>
      <c r="I286" s="16" t="n"/>
      <c r="J286" s="16" t="n"/>
      <c r="K286" s="16" t="n"/>
      <c r="L286" s="18">
        <f>IF(AND(D286="",E286=""),"",IFERROR(IF(F286&lt;&gt;"",F286,0)+IF(H286&lt;&gt;"",H286,0)+IF(J286&lt;&gt;"",J286,0),""))</f>
        <v/>
      </c>
      <c r="M286" s="18">
        <f>IF(AND(D286="",E286=""),"",IFERROR(IF(G286&lt;&gt;"",G286,0)+IF(I286&lt;&gt;"",I286,0)+IF(K286&lt;&gt;"",K286,0),""))</f>
        <v/>
      </c>
      <c r="N286" s="18">
        <f>IF(OR(L286="",M286=""),"",IF(L286&gt;M286,D286,IF(M286&gt;L286,E286,"Draw")))</f>
        <v/>
      </c>
      <c r="O286" s="18">
        <f>IF(AND(D286="",E286=""),"",IF(AND(L286&lt;&gt;"",M286&lt;&gt;""),"Completed","Scheduled"))</f>
        <v/>
      </c>
    </row>
    <row r="287">
      <c r="A287" s="15" t="n"/>
      <c r="B287" s="16" t="n"/>
      <c r="C287" s="16" t="n"/>
      <c r="D287" s="17" t="n"/>
      <c r="E287" s="17" t="n"/>
      <c r="F287" s="16" t="n"/>
      <c r="G287" s="16" t="n"/>
      <c r="H287" s="16" t="n"/>
      <c r="I287" s="16" t="n"/>
      <c r="J287" s="16" t="n"/>
      <c r="K287" s="16" t="n"/>
      <c r="L287" s="18">
        <f>IF(AND(D287="",E287=""),"",IFERROR(IF(F287&lt;&gt;"",F287,0)+IF(H287&lt;&gt;"",H287,0)+IF(J287&lt;&gt;"",J287,0),""))</f>
        <v/>
      </c>
      <c r="M287" s="18">
        <f>IF(AND(D287="",E287=""),"",IFERROR(IF(G287&lt;&gt;"",G287,0)+IF(I287&lt;&gt;"",I287,0)+IF(K287&lt;&gt;"",K287,0),""))</f>
        <v/>
      </c>
      <c r="N287" s="18">
        <f>IF(OR(L287="",M287=""),"",IF(L287&gt;M287,D287,IF(M287&gt;L287,E287,"Draw")))</f>
        <v/>
      </c>
      <c r="O287" s="18">
        <f>IF(AND(D287="",E287=""),"",IF(AND(L287&lt;&gt;"",M287&lt;&gt;""),"Completed","Scheduled"))</f>
        <v/>
      </c>
    </row>
    <row r="288">
      <c r="A288" s="15" t="n"/>
      <c r="B288" s="16" t="n"/>
      <c r="C288" s="16" t="n"/>
      <c r="D288" s="17" t="n"/>
      <c r="E288" s="17" t="n"/>
      <c r="F288" s="16" t="n"/>
      <c r="G288" s="16" t="n"/>
      <c r="H288" s="16" t="n"/>
      <c r="I288" s="16" t="n"/>
      <c r="J288" s="16" t="n"/>
      <c r="K288" s="16" t="n"/>
      <c r="L288" s="18">
        <f>IF(AND(D288="",E288=""),"",IFERROR(IF(F288&lt;&gt;"",F288,0)+IF(H288&lt;&gt;"",H288,0)+IF(J288&lt;&gt;"",J288,0),""))</f>
        <v/>
      </c>
      <c r="M288" s="18">
        <f>IF(AND(D288="",E288=""),"",IFERROR(IF(G288&lt;&gt;"",G288,0)+IF(I288&lt;&gt;"",I288,0)+IF(K288&lt;&gt;"",K288,0),""))</f>
        <v/>
      </c>
      <c r="N288" s="18">
        <f>IF(OR(L288="",M288=""),"",IF(L288&gt;M288,D288,IF(M288&gt;L288,E288,"Draw")))</f>
        <v/>
      </c>
      <c r="O288" s="18">
        <f>IF(AND(D288="",E288=""),"",IF(AND(L288&lt;&gt;"",M288&lt;&gt;""),"Completed","Scheduled"))</f>
        <v/>
      </c>
    </row>
    <row r="289">
      <c r="A289" s="15" t="n"/>
      <c r="B289" s="16" t="n"/>
      <c r="C289" s="16" t="n"/>
      <c r="D289" s="17" t="n"/>
      <c r="E289" s="17" t="n"/>
      <c r="F289" s="16" t="n"/>
      <c r="G289" s="16" t="n"/>
      <c r="H289" s="16" t="n"/>
      <c r="I289" s="16" t="n"/>
      <c r="J289" s="16" t="n"/>
      <c r="K289" s="16" t="n"/>
      <c r="L289" s="18">
        <f>IF(AND(D289="",E289=""),"",IFERROR(IF(F289&lt;&gt;"",F289,0)+IF(H289&lt;&gt;"",H289,0)+IF(J289&lt;&gt;"",J289,0),""))</f>
        <v/>
      </c>
      <c r="M289" s="18">
        <f>IF(AND(D289="",E289=""),"",IFERROR(IF(G289&lt;&gt;"",G289,0)+IF(I289&lt;&gt;"",I289,0)+IF(K289&lt;&gt;"",K289,0),""))</f>
        <v/>
      </c>
      <c r="N289" s="18">
        <f>IF(OR(L289="",M289=""),"",IF(L289&gt;M289,D289,IF(M289&gt;L289,E289,"Draw")))</f>
        <v/>
      </c>
      <c r="O289" s="18">
        <f>IF(AND(D289="",E289=""),"",IF(AND(L289&lt;&gt;"",M289&lt;&gt;""),"Completed","Scheduled"))</f>
        <v/>
      </c>
    </row>
    <row r="290">
      <c r="A290" s="15" t="n"/>
      <c r="B290" s="16" t="n"/>
      <c r="C290" s="16" t="n"/>
      <c r="D290" s="17" t="n"/>
      <c r="E290" s="17" t="n"/>
      <c r="F290" s="16" t="n"/>
      <c r="G290" s="16" t="n"/>
      <c r="H290" s="16" t="n"/>
      <c r="I290" s="16" t="n"/>
      <c r="J290" s="16" t="n"/>
      <c r="K290" s="16" t="n"/>
      <c r="L290" s="18">
        <f>IF(AND(D290="",E290=""),"",IFERROR(IF(F290&lt;&gt;"",F290,0)+IF(H290&lt;&gt;"",H290,0)+IF(J290&lt;&gt;"",J290,0),""))</f>
        <v/>
      </c>
      <c r="M290" s="18">
        <f>IF(AND(D290="",E290=""),"",IFERROR(IF(G290&lt;&gt;"",G290,0)+IF(I290&lt;&gt;"",I290,0)+IF(K290&lt;&gt;"",K290,0),""))</f>
        <v/>
      </c>
      <c r="N290" s="18">
        <f>IF(OR(L290="",M290=""),"",IF(L290&gt;M290,D290,IF(M290&gt;L290,E290,"Draw")))</f>
        <v/>
      </c>
      <c r="O290" s="18">
        <f>IF(AND(D290="",E290=""),"",IF(AND(L290&lt;&gt;"",M290&lt;&gt;""),"Completed","Scheduled"))</f>
        <v/>
      </c>
    </row>
    <row r="291">
      <c r="A291" s="15" t="n"/>
      <c r="B291" s="16" t="n"/>
      <c r="C291" s="16" t="n"/>
      <c r="D291" s="17" t="n"/>
      <c r="E291" s="17" t="n"/>
      <c r="F291" s="16" t="n"/>
      <c r="G291" s="16" t="n"/>
      <c r="H291" s="16" t="n"/>
      <c r="I291" s="16" t="n"/>
      <c r="J291" s="16" t="n"/>
      <c r="K291" s="16" t="n"/>
      <c r="L291" s="18">
        <f>IF(AND(D291="",E291=""),"",IFERROR(IF(F291&lt;&gt;"",F291,0)+IF(H291&lt;&gt;"",H291,0)+IF(J291&lt;&gt;"",J291,0),""))</f>
        <v/>
      </c>
      <c r="M291" s="18">
        <f>IF(AND(D291="",E291=""),"",IFERROR(IF(G291&lt;&gt;"",G291,0)+IF(I291&lt;&gt;"",I291,0)+IF(K291&lt;&gt;"",K291,0),""))</f>
        <v/>
      </c>
      <c r="N291" s="18">
        <f>IF(OR(L291="",M291=""),"",IF(L291&gt;M291,D291,IF(M291&gt;L291,E291,"Draw")))</f>
        <v/>
      </c>
      <c r="O291" s="18">
        <f>IF(AND(D291="",E291=""),"",IF(AND(L291&lt;&gt;"",M291&lt;&gt;""),"Completed","Scheduled"))</f>
        <v/>
      </c>
    </row>
    <row r="292">
      <c r="A292" s="15" t="n"/>
      <c r="B292" s="16" t="n"/>
      <c r="C292" s="16" t="n"/>
      <c r="D292" s="17" t="n"/>
      <c r="E292" s="17" t="n"/>
      <c r="F292" s="16" t="n"/>
      <c r="G292" s="16" t="n"/>
      <c r="H292" s="16" t="n"/>
      <c r="I292" s="16" t="n"/>
      <c r="J292" s="16" t="n"/>
      <c r="K292" s="16" t="n"/>
      <c r="L292" s="18">
        <f>IF(AND(D292="",E292=""),"",IFERROR(IF(F292&lt;&gt;"",F292,0)+IF(H292&lt;&gt;"",H292,0)+IF(J292&lt;&gt;"",J292,0),""))</f>
        <v/>
      </c>
      <c r="M292" s="18">
        <f>IF(AND(D292="",E292=""),"",IFERROR(IF(G292&lt;&gt;"",G292,0)+IF(I292&lt;&gt;"",I292,0)+IF(K292&lt;&gt;"",K292,0),""))</f>
        <v/>
      </c>
      <c r="N292" s="18">
        <f>IF(OR(L292="",M292=""),"",IF(L292&gt;M292,D292,IF(M292&gt;L292,E292,"Draw")))</f>
        <v/>
      </c>
      <c r="O292" s="18">
        <f>IF(AND(D292="",E292=""),"",IF(AND(L292&lt;&gt;"",M292&lt;&gt;""),"Completed","Scheduled"))</f>
        <v/>
      </c>
    </row>
    <row r="293">
      <c r="A293" s="15" t="n"/>
      <c r="B293" s="16" t="n"/>
      <c r="C293" s="16" t="n"/>
      <c r="D293" s="17" t="n"/>
      <c r="E293" s="17" t="n"/>
      <c r="F293" s="16" t="n"/>
      <c r="G293" s="16" t="n"/>
      <c r="H293" s="16" t="n"/>
      <c r="I293" s="16" t="n"/>
      <c r="J293" s="16" t="n"/>
      <c r="K293" s="16" t="n"/>
      <c r="L293" s="18">
        <f>IF(AND(D293="",E293=""),"",IFERROR(IF(F293&lt;&gt;"",F293,0)+IF(H293&lt;&gt;"",H293,0)+IF(J293&lt;&gt;"",J293,0),""))</f>
        <v/>
      </c>
      <c r="M293" s="18">
        <f>IF(AND(D293="",E293=""),"",IFERROR(IF(G293&lt;&gt;"",G293,0)+IF(I293&lt;&gt;"",I293,0)+IF(K293&lt;&gt;"",K293,0),""))</f>
        <v/>
      </c>
      <c r="N293" s="18">
        <f>IF(OR(L293="",M293=""),"",IF(L293&gt;M293,D293,IF(M293&gt;L293,E293,"Draw")))</f>
        <v/>
      </c>
      <c r="O293" s="18">
        <f>IF(AND(D293="",E293=""),"",IF(AND(L293&lt;&gt;"",M293&lt;&gt;""),"Completed","Scheduled"))</f>
        <v/>
      </c>
    </row>
    <row r="294">
      <c r="A294" s="15" t="n"/>
      <c r="B294" s="16" t="n"/>
      <c r="C294" s="16" t="n"/>
      <c r="D294" s="17" t="n"/>
      <c r="E294" s="17" t="n"/>
      <c r="F294" s="16" t="n"/>
      <c r="G294" s="16" t="n"/>
      <c r="H294" s="16" t="n"/>
      <c r="I294" s="16" t="n"/>
      <c r="J294" s="16" t="n"/>
      <c r="K294" s="16" t="n"/>
      <c r="L294" s="18">
        <f>IF(AND(D294="",E294=""),"",IFERROR(IF(F294&lt;&gt;"",F294,0)+IF(H294&lt;&gt;"",H294,0)+IF(J294&lt;&gt;"",J294,0),""))</f>
        <v/>
      </c>
      <c r="M294" s="18">
        <f>IF(AND(D294="",E294=""),"",IFERROR(IF(G294&lt;&gt;"",G294,0)+IF(I294&lt;&gt;"",I294,0)+IF(K294&lt;&gt;"",K294,0),""))</f>
        <v/>
      </c>
      <c r="N294" s="18">
        <f>IF(OR(L294="",M294=""),"",IF(L294&gt;M294,D294,IF(M294&gt;L294,E294,"Draw")))</f>
        <v/>
      </c>
      <c r="O294" s="18">
        <f>IF(AND(D294="",E294=""),"",IF(AND(L294&lt;&gt;"",M294&lt;&gt;""),"Completed","Scheduled"))</f>
        <v/>
      </c>
    </row>
    <row r="295">
      <c r="A295" s="15" t="n"/>
      <c r="B295" s="16" t="n"/>
      <c r="C295" s="16" t="n"/>
      <c r="D295" s="17" t="n"/>
      <c r="E295" s="17" t="n"/>
      <c r="F295" s="16" t="n"/>
      <c r="G295" s="16" t="n"/>
      <c r="H295" s="16" t="n"/>
      <c r="I295" s="16" t="n"/>
      <c r="J295" s="16" t="n"/>
      <c r="K295" s="16" t="n"/>
      <c r="L295" s="18">
        <f>IF(AND(D295="",E295=""),"",IFERROR(IF(F295&lt;&gt;"",F295,0)+IF(H295&lt;&gt;"",H295,0)+IF(J295&lt;&gt;"",J295,0),""))</f>
        <v/>
      </c>
      <c r="M295" s="18">
        <f>IF(AND(D295="",E295=""),"",IFERROR(IF(G295&lt;&gt;"",G295,0)+IF(I295&lt;&gt;"",I295,0)+IF(K295&lt;&gt;"",K295,0),""))</f>
        <v/>
      </c>
      <c r="N295" s="18">
        <f>IF(OR(L295="",M295=""),"",IF(L295&gt;M295,D295,IF(M295&gt;L295,E295,"Draw")))</f>
        <v/>
      </c>
      <c r="O295" s="18">
        <f>IF(AND(D295="",E295=""),"",IF(AND(L295&lt;&gt;"",M295&lt;&gt;""),"Completed","Scheduled"))</f>
        <v/>
      </c>
    </row>
    <row r="296">
      <c r="A296" s="15" t="n"/>
      <c r="B296" s="16" t="n"/>
      <c r="C296" s="16" t="n"/>
      <c r="D296" s="17" t="n"/>
      <c r="E296" s="17" t="n"/>
      <c r="F296" s="16" t="n"/>
      <c r="G296" s="16" t="n"/>
      <c r="H296" s="16" t="n"/>
      <c r="I296" s="16" t="n"/>
      <c r="J296" s="16" t="n"/>
      <c r="K296" s="16" t="n"/>
      <c r="L296" s="18">
        <f>IF(AND(D296="",E296=""),"",IFERROR(IF(F296&lt;&gt;"",F296,0)+IF(H296&lt;&gt;"",H296,0)+IF(J296&lt;&gt;"",J296,0),""))</f>
        <v/>
      </c>
      <c r="M296" s="18">
        <f>IF(AND(D296="",E296=""),"",IFERROR(IF(G296&lt;&gt;"",G296,0)+IF(I296&lt;&gt;"",I296,0)+IF(K296&lt;&gt;"",K296,0),""))</f>
        <v/>
      </c>
      <c r="N296" s="18">
        <f>IF(OR(L296="",M296=""),"",IF(L296&gt;M296,D296,IF(M296&gt;L296,E296,"Draw")))</f>
        <v/>
      </c>
      <c r="O296" s="18">
        <f>IF(AND(D296="",E296=""),"",IF(AND(L296&lt;&gt;"",M296&lt;&gt;""),"Completed","Scheduled"))</f>
        <v/>
      </c>
    </row>
    <row r="297">
      <c r="A297" s="15" t="n"/>
      <c r="B297" s="16" t="n"/>
      <c r="C297" s="16" t="n"/>
      <c r="D297" s="17" t="n"/>
      <c r="E297" s="17" t="n"/>
      <c r="F297" s="16" t="n"/>
      <c r="G297" s="16" t="n"/>
      <c r="H297" s="16" t="n"/>
      <c r="I297" s="16" t="n"/>
      <c r="J297" s="16" t="n"/>
      <c r="K297" s="16" t="n"/>
      <c r="L297" s="18">
        <f>IF(AND(D297="",E297=""),"",IFERROR(IF(F297&lt;&gt;"",F297,0)+IF(H297&lt;&gt;"",H297,0)+IF(J297&lt;&gt;"",J297,0),""))</f>
        <v/>
      </c>
      <c r="M297" s="18">
        <f>IF(AND(D297="",E297=""),"",IFERROR(IF(G297&lt;&gt;"",G297,0)+IF(I297&lt;&gt;"",I297,0)+IF(K297&lt;&gt;"",K297,0),""))</f>
        <v/>
      </c>
      <c r="N297" s="18">
        <f>IF(OR(L297="",M297=""),"",IF(L297&gt;M297,D297,IF(M297&gt;L297,E297,"Draw")))</f>
        <v/>
      </c>
      <c r="O297" s="18">
        <f>IF(AND(D297="",E297=""),"",IF(AND(L297&lt;&gt;"",M297&lt;&gt;""),"Completed","Scheduled"))</f>
        <v/>
      </c>
    </row>
    <row r="298">
      <c r="A298" s="15" t="n"/>
      <c r="B298" s="16" t="n"/>
      <c r="C298" s="16" t="n"/>
      <c r="D298" s="17" t="n"/>
      <c r="E298" s="17" t="n"/>
      <c r="F298" s="16" t="n"/>
      <c r="G298" s="16" t="n"/>
      <c r="H298" s="16" t="n"/>
      <c r="I298" s="16" t="n"/>
      <c r="J298" s="16" t="n"/>
      <c r="K298" s="16" t="n"/>
      <c r="L298" s="18">
        <f>IF(AND(D298="",E298=""),"",IFERROR(IF(F298&lt;&gt;"",F298,0)+IF(H298&lt;&gt;"",H298,0)+IF(J298&lt;&gt;"",J298,0),""))</f>
        <v/>
      </c>
      <c r="M298" s="18">
        <f>IF(AND(D298="",E298=""),"",IFERROR(IF(G298&lt;&gt;"",G298,0)+IF(I298&lt;&gt;"",I298,0)+IF(K298&lt;&gt;"",K298,0),""))</f>
        <v/>
      </c>
      <c r="N298" s="18">
        <f>IF(OR(L298="",M298=""),"",IF(L298&gt;M298,D298,IF(M298&gt;L298,E298,"Draw")))</f>
        <v/>
      </c>
      <c r="O298" s="18">
        <f>IF(AND(D298="",E298=""),"",IF(AND(L298&lt;&gt;"",M298&lt;&gt;""),"Completed","Scheduled"))</f>
        <v/>
      </c>
    </row>
    <row r="299">
      <c r="A299" s="15" t="n"/>
      <c r="B299" s="16" t="n"/>
      <c r="C299" s="16" t="n"/>
      <c r="D299" s="17" t="n"/>
      <c r="E299" s="17" t="n"/>
      <c r="F299" s="16" t="n"/>
      <c r="G299" s="16" t="n"/>
      <c r="H299" s="16" t="n"/>
      <c r="I299" s="16" t="n"/>
      <c r="J299" s="16" t="n"/>
      <c r="K299" s="16" t="n"/>
      <c r="L299" s="18">
        <f>IF(AND(D299="",E299=""),"",IFERROR(IF(F299&lt;&gt;"",F299,0)+IF(H299&lt;&gt;"",H299,0)+IF(J299&lt;&gt;"",J299,0),""))</f>
        <v/>
      </c>
      <c r="M299" s="18">
        <f>IF(AND(D299="",E299=""),"",IFERROR(IF(G299&lt;&gt;"",G299,0)+IF(I299&lt;&gt;"",I299,0)+IF(K299&lt;&gt;"",K299,0),""))</f>
        <v/>
      </c>
      <c r="N299" s="18">
        <f>IF(OR(L299="",M299=""),"",IF(L299&gt;M299,D299,IF(M299&gt;L299,E299,"Draw")))</f>
        <v/>
      </c>
      <c r="O299" s="18">
        <f>IF(AND(D299="",E299=""),"",IF(AND(L299&lt;&gt;"",M299&lt;&gt;""),"Completed","Scheduled"))</f>
        <v/>
      </c>
    </row>
    <row r="300">
      <c r="A300" s="15" t="n"/>
      <c r="B300" s="16" t="n"/>
      <c r="C300" s="16" t="n"/>
      <c r="D300" s="17" t="n"/>
      <c r="E300" s="17" t="n"/>
      <c r="F300" s="16" t="n"/>
      <c r="G300" s="16" t="n"/>
      <c r="H300" s="16" t="n"/>
      <c r="I300" s="16" t="n"/>
      <c r="J300" s="16" t="n"/>
      <c r="K300" s="16" t="n"/>
      <c r="L300" s="18">
        <f>IF(AND(D300="",E300=""),"",IFERROR(IF(F300&lt;&gt;"",F300,0)+IF(H300&lt;&gt;"",H300,0)+IF(J300&lt;&gt;"",J300,0),""))</f>
        <v/>
      </c>
      <c r="M300" s="18">
        <f>IF(AND(D300="",E300=""),"",IFERROR(IF(G300&lt;&gt;"",G300,0)+IF(I300&lt;&gt;"",I300,0)+IF(K300&lt;&gt;"",K300,0),""))</f>
        <v/>
      </c>
      <c r="N300" s="18">
        <f>IF(OR(L300="",M300=""),"",IF(L300&gt;M300,D300,IF(M300&gt;L300,E300,"Draw")))</f>
        <v/>
      </c>
      <c r="O300" s="18">
        <f>IF(AND(D300="",E300=""),"",IF(AND(L300&lt;&gt;"",M300&lt;&gt;""),"Completed","Scheduled"))</f>
        <v/>
      </c>
    </row>
    <row r="301">
      <c r="A301" s="15" t="n"/>
      <c r="B301" s="16" t="n"/>
      <c r="C301" s="16" t="n"/>
      <c r="D301" s="17" t="n"/>
      <c r="E301" s="17" t="n"/>
      <c r="F301" s="16" t="n"/>
      <c r="G301" s="16" t="n"/>
      <c r="H301" s="16" t="n"/>
      <c r="I301" s="16" t="n"/>
      <c r="J301" s="16" t="n"/>
      <c r="K301" s="16" t="n"/>
      <c r="L301" s="18">
        <f>IF(AND(D301="",E301=""),"",IFERROR(IF(F301&lt;&gt;"",F301,0)+IF(H301&lt;&gt;"",H301,0)+IF(J301&lt;&gt;"",J301,0),""))</f>
        <v/>
      </c>
      <c r="M301" s="18">
        <f>IF(AND(D301="",E301=""),"",IFERROR(IF(G301&lt;&gt;"",G301,0)+IF(I301&lt;&gt;"",I301,0)+IF(K301&lt;&gt;"",K301,0),""))</f>
        <v/>
      </c>
      <c r="N301" s="18">
        <f>IF(OR(L301="",M301=""),"",IF(L301&gt;M301,D301,IF(M301&gt;L301,E301,"Draw")))</f>
        <v/>
      </c>
      <c r="O301" s="18">
        <f>IF(AND(D301="",E301=""),"",IF(AND(L301&lt;&gt;"",M301&lt;&gt;""),"Completed","Scheduled"))</f>
        <v/>
      </c>
    </row>
    <row r="302">
      <c r="A302" s="15" t="n"/>
      <c r="B302" s="16" t="n"/>
      <c r="C302" s="16" t="n"/>
      <c r="D302" s="17" t="n"/>
      <c r="E302" s="17" t="n"/>
      <c r="F302" s="16" t="n"/>
      <c r="G302" s="16" t="n"/>
      <c r="H302" s="16" t="n"/>
      <c r="I302" s="16" t="n"/>
      <c r="J302" s="16" t="n"/>
      <c r="K302" s="16" t="n"/>
      <c r="L302" s="18">
        <f>IF(AND(D302="",E302=""),"",IFERROR(IF(F302&lt;&gt;"",F302,0)+IF(H302&lt;&gt;"",H302,0)+IF(J302&lt;&gt;"",J302,0),""))</f>
        <v/>
      </c>
      <c r="M302" s="18">
        <f>IF(AND(D302="",E302=""),"",IFERROR(IF(G302&lt;&gt;"",G302,0)+IF(I302&lt;&gt;"",I302,0)+IF(K302&lt;&gt;"",K302,0),""))</f>
        <v/>
      </c>
      <c r="N302" s="18">
        <f>IF(OR(L302="",M302=""),"",IF(L302&gt;M302,D302,IF(M302&gt;L302,E302,"Draw")))</f>
        <v/>
      </c>
      <c r="O302" s="18">
        <f>IF(AND(D302="",E302=""),"",IF(AND(L302&lt;&gt;"",M302&lt;&gt;""),"Completed","Scheduled"))</f>
        <v/>
      </c>
    </row>
    <row r="303">
      <c r="A303" s="15" t="n"/>
      <c r="B303" s="16" t="n"/>
      <c r="C303" s="16" t="n"/>
      <c r="D303" s="17" t="n"/>
      <c r="E303" s="17" t="n"/>
      <c r="F303" s="16" t="n"/>
      <c r="G303" s="16" t="n"/>
      <c r="H303" s="16" t="n"/>
      <c r="I303" s="16" t="n"/>
      <c r="J303" s="16" t="n"/>
      <c r="K303" s="16" t="n"/>
      <c r="L303" s="18">
        <f>IF(AND(D303="",E303=""),"",IFERROR(IF(F303&lt;&gt;"",F303,0)+IF(H303&lt;&gt;"",H303,0)+IF(J303&lt;&gt;"",J303,0),""))</f>
        <v/>
      </c>
      <c r="M303" s="18">
        <f>IF(AND(D303="",E303=""),"",IFERROR(IF(G303&lt;&gt;"",G303,0)+IF(I303&lt;&gt;"",I303,0)+IF(K303&lt;&gt;"",K303,0),""))</f>
        <v/>
      </c>
      <c r="N303" s="18">
        <f>IF(OR(L303="",M303=""),"",IF(L303&gt;M303,D303,IF(M303&gt;L303,E303,"Draw")))</f>
        <v/>
      </c>
      <c r="O303" s="18">
        <f>IF(AND(D303="",E303=""),"",IF(AND(L303&lt;&gt;"",M303&lt;&gt;""),"Completed","Scheduled"))</f>
        <v/>
      </c>
    </row>
    <row r="304">
      <c r="A304" s="15" t="n"/>
      <c r="B304" s="16" t="n"/>
      <c r="C304" s="16" t="n"/>
      <c r="D304" s="17" t="n"/>
      <c r="E304" s="17" t="n"/>
      <c r="F304" s="16" t="n"/>
      <c r="G304" s="16" t="n"/>
      <c r="H304" s="16" t="n"/>
      <c r="I304" s="16" t="n"/>
      <c r="J304" s="16" t="n"/>
      <c r="K304" s="16" t="n"/>
      <c r="L304" s="18">
        <f>IF(AND(D304="",E304=""),"",IFERROR(IF(F304&lt;&gt;"",F304,0)+IF(H304&lt;&gt;"",H304,0)+IF(J304&lt;&gt;"",J304,0),""))</f>
        <v/>
      </c>
      <c r="M304" s="18">
        <f>IF(AND(D304="",E304=""),"",IFERROR(IF(G304&lt;&gt;"",G304,0)+IF(I304&lt;&gt;"",I304,0)+IF(K304&lt;&gt;"",K304,0),""))</f>
        <v/>
      </c>
      <c r="N304" s="18">
        <f>IF(OR(L304="",M304=""),"",IF(L304&gt;M304,D304,IF(M304&gt;L304,E304,"Draw")))</f>
        <v/>
      </c>
      <c r="O304" s="18">
        <f>IF(AND(D304="",E304=""),"",IF(AND(L304&lt;&gt;"",M304&lt;&gt;""),"Completed","Scheduled"))</f>
        <v/>
      </c>
    </row>
    <row r="305">
      <c r="A305" s="15" t="n"/>
      <c r="B305" s="16" t="n"/>
      <c r="C305" s="16" t="n"/>
      <c r="D305" s="17" t="n"/>
      <c r="E305" s="17" t="n"/>
      <c r="F305" s="16" t="n"/>
      <c r="G305" s="16" t="n"/>
      <c r="H305" s="16" t="n"/>
      <c r="I305" s="16" t="n"/>
      <c r="J305" s="16" t="n"/>
      <c r="K305" s="16" t="n"/>
      <c r="L305" s="18">
        <f>IF(AND(D305="",E305=""),"",IFERROR(IF(F305&lt;&gt;"",F305,0)+IF(H305&lt;&gt;"",H305,0)+IF(J305&lt;&gt;"",J305,0),""))</f>
        <v/>
      </c>
      <c r="M305" s="18">
        <f>IF(AND(D305="",E305=""),"",IFERROR(IF(G305&lt;&gt;"",G305,0)+IF(I305&lt;&gt;"",I305,0)+IF(K305&lt;&gt;"",K305,0),""))</f>
        <v/>
      </c>
      <c r="N305" s="18">
        <f>IF(OR(L305="",M305=""),"",IF(L305&gt;M305,D305,IF(M305&gt;L305,E305,"Draw")))</f>
        <v/>
      </c>
      <c r="O305" s="18">
        <f>IF(AND(D305="",E305=""),"",IF(AND(L305&lt;&gt;"",M305&lt;&gt;""),"Completed","Scheduled"))</f>
        <v/>
      </c>
    </row>
    <row r="306">
      <c r="A306" s="15" t="n"/>
      <c r="B306" s="16" t="n"/>
      <c r="C306" s="16" t="n"/>
      <c r="D306" s="17" t="n"/>
      <c r="E306" s="17" t="n"/>
      <c r="F306" s="16" t="n"/>
      <c r="G306" s="16" t="n"/>
      <c r="H306" s="16" t="n"/>
      <c r="I306" s="16" t="n"/>
      <c r="J306" s="16" t="n"/>
      <c r="K306" s="16" t="n"/>
      <c r="L306" s="18">
        <f>IF(AND(D306="",E306=""),"",IFERROR(IF(F306&lt;&gt;"",F306,0)+IF(H306&lt;&gt;"",H306,0)+IF(J306&lt;&gt;"",J306,0),""))</f>
        <v/>
      </c>
      <c r="M306" s="18">
        <f>IF(AND(D306="",E306=""),"",IFERROR(IF(G306&lt;&gt;"",G306,0)+IF(I306&lt;&gt;"",I306,0)+IF(K306&lt;&gt;"",K306,0),""))</f>
        <v/>
      </c>
      <c r="N306" s="18">
        <f>IF(OR(L306="",M306=""),"",IF(L306&gt;M306,D306,IF(M306&gt;L306,E306,"Draw")))</f>
        <v/>
      </c>
      <c r="O306" s="18">
        <f>IF(AND(D306="",E306=""),"",IF(AND(L306&lt;&gt;"",M306&lt;&gt;""),"Completed","Scheduled"))</f>
        <v/>
      </c>
    </row>
    <row r="307">
      <c r="A307" s="15" t="n"/>
      <c r="B307" s="16" t="n"/>
      <c r="C307" s="16" t="n"/>
      <c r="D307" s="17" t="n"/>
      <c r="E307" s="17" t="n"/>
      <c r="F307" s="16" t="n"/>
      <c r="G307" s="16" t="n"/>
      <c r="H307" s="16" t="n"/>
      <c r="I307" s="16" t="n"/>
      <c r="J307" s="16" t="n"/>
      <c r="K307" s="16" t="n"/>
      <c r="L307" s="18">
        <f>IF(AND(D307="",E307=""),"",IFERROR(IF(F307&lt;&gt;"",F307,0)+IF(H307&lt;&gt;"",H307,0)+IF(J307&lt;&gt;"",J307,0),""))</f>
        <v/>
      </c>
      <c r="M307" s="18">
        <f>IF(AND(D307="",E307=""),"",IFERROR(IF(G307&lt;&gt;"",G307,0)+IF(I307&lt;&gt;"",I307,0)+IF(K307&lt;&gt;"",K307,0),""))</f>
        <v/>
      </c>
      <c r="N307" s="18">
        <f>IF(OR(L307="",M307=""),"",IF(L307&gt;M307,D307,IF(M307&gt;L307,E307,"Draw")))</f>
        <v/>
      </c>
      <c r="O307" s="18">
        <f>IF(AND(D307="",E307=""),"",IF(AND(L307&lt;&gt;"",M307&lt;&gt;""),"Completed","Scheduled"))</f>
        <v/>
      </c>
    </row>
    <row r="308">
      <c r="A308" s="15" t="n"/>
      <c r="B308" s="16" t="n"/>
      <c r="C308" s="16" t="n"/>
      <c r="D308" s="17" t="n"/>
      <c r="E308" s="17" t="n"/>
      <c r="F308" s="16" t="n"/>
      <c r="G308" s="16" t="n"/>
      <c r="H308" s="16" t="n"/>
      <c r="I308" s="16" t="n"/>
      <c r="J308" s="16" t="n"/>
      <c r="K308" s="16" t="n"/>
      <c r="L308" s="18">
        <f>IF(AND(D308="",E308=""),"",IFERROR(IF(F308&lt;&gt;"",F308,0)+IF(H308&lt;&gt;"",H308,0)+IF(J308&lt;&gt;"",J308,0),""))</f>
        <v/>
      </c>
      <c r="M308" s="18">
        <f>IF(AND(D308="",E308=""),"",IFERROR(IF(G308&lt;&gt;"",G308,0)+IF(I308&lt;&gt;"",I308,0)+IF(K308&lt;&gt;"",K308,0),""))</f>
        <v/>
      </c>
      <c r="N308" s="18">
        <f>IF(OR(L308="",M308=""),"",IF(L308&gt;M308,D308,IF(M308&gt;L308,E308,"Draw")))</f>
        <v/>
      </c>
      <c r="O308" s="18">
        <f>IF(AND(D308="",E308=""),"",IF(AND(L308&lt;&gt;"",M308&lt;&gt;""),"Completed","Scheduled"))</f>
        <v/>
      </c>
    </row>
    <row r="309">
      <c r="A309" s="15" t="n"/>
      <c r="B309" s="16" t="n"/>
      <c r="C309" s="16" t="n"/>
      <c r="D309" s="17" t="n"/>
      <c r="E309" s="17" t="n"/>
      <c r="F309" s="16" t="n"/>
      <c r="G309" s="16" t="n"/>
      <c r="H309" s="16" t="n"/>
      <c r="I309" s="16" t="n"/>
      <c r="J309" s="16" t="n"/>
      <c r="K309" s="16" t="n"/>
      <c r="L309" s="18">
        <f>IF(AND(D309="",E309=""),"",IFERROR(IF(F309&lt;&gt;"",F309,0)+IF(H309&lt;&gt;"",H309,0)+IF(J309&lt;&gt;"",J309,0),""))</f>
        <v/>
      </c>
      <c r="M309" s="18">
        <f>IF(AND(D309="",E309=""),"",IFERROR(IF(G309&lt;&gt;"",G309,0)+IF(I309&lt;&gt;"",I309,0)+IF(K309&lt;&gt;"",K309,0),""))</f>
        <v/>
      </c>
      <c r="N309" s="18">
        <f>IF(OR(L309="",M309=""),"",IF(L309&gt;M309,D309,IF(M309&gt;L309,E309,"Draw")))</f>
        <v/>
      </c>
      <c r="O309" s="18">
        <f>IF(AND(D309="",E309=""),"",IF(AND(L309&lt;&gt;"",M309&lt;&gt;""),"Completed","Scheduled"))</f>
        <v/>
      </c>
    </row>
    <row r="310">
      <c r="A310" s="15" t="n"/>
      <c r="B310" s="16" t="n"/>
      <c r="C310" s="16" t="n"/>
      <c r="D310" s="17" t="n"/>
      <c r="E310" s="17" t="n"/>
      <c r="F310" s="16" t="n"/>
      <c r="G310" s="16" t="n"/>
      <c r="H310" s="16" t="n"/>
      <c r="I310" s="16" t="n"/>
      <c r="J310" s="16" t="n"/>
      <c r="K310" s="16" t="n"/>
      <c r="L310" s="18">
        <f>IF(AND(D310="",E310=""),"",IFERROR(IF(F310&lt;&gt;"",F310,0)+IF(H310&lt;&gt;"",H310,0)+IF(J310&lt;&gt;"",J310,0),""))</f>
        <v/>
      </c>
      <c r="M310" s="18">
        <f>IF(AND(D310="",E310=""),"",IFERROR(IF(G310&lt;&gt;"",G310,0)+IF(I310&lt;&gt;"",I310,0)+IF(K310&lt;&gt;"",K310,0),""))</f>
        <v/>
      </c>
      <c r="N310" s="18">
        <f>IF(OR(L310="",M310=""),"",IF(L310&gt;M310,D310,IF(M310&gt;L310,E310,"Draw")))</f>
        <v/>
      </c>
      <c r="O310" s="18">
        <f>IF(AND(D310="",E310=""),"",IF(AND(L310&lt;&gt;"",M310&lt;&gt;""),"Completed","Scheduled"))</f>
        <v/>
      </c>
    </row>
    <row r="311">
      <c r="A311" s="15" t="n"/>
      <c r="B311" s="16" t="n"/>
      <c r="C311" s="16" t="n"/>
      <c r="D311" s="17" t="n"/>
      <c r="E311" s="17" t="n"/>
      <c r="F311" s="16" t="n"/>
      <c r="G311" s="16" t="n"/>
      <c r="H311" s="16" t="n"/>
      <c r="I311" s="16" t="n"/>
      <c r="J311" s="16" t="n"/>
      <c r="K311" s="16" t="n"/>
      <c r="L311" s="18">
        <f>IF(AND(D311="",E311=""),"",IFERROR(IF(F311&lt;&gt;"",F311,0)+IF(H311&lt;&gt;"",H311,0)+IF(J311&lt;&gt;"",J311,0),""))</f>
        <v/>
      </c>
      <c r="M311" s="18">
        <f>IF(AND(D311="",E311=""),"",IFERROR(IF(G311&lt;&gt;"",G311,0)+IF(I311&lt;&gt;"",I311,0)+IF(K311&lt;&gt;"",K311,0),""))</f>
        <v/>
      </c>
      <c r="N311" s="18">
        <f>IF(OR(L311="",M311=""),"",IF(L311&gt;M311,D311,IF(M311&gt;L311,E311,"Draw")))</f>
        <v/>
      </c>
      <c r="O311" s="18">
        <f>IF(AND(D311="",E311=""),"",IF(AND(L311&lt;&gt;"",M311&lt;&gt;""),"Completed","Scheduled"))</f>
        <v/>
      </c>
    </row>
    <row r="312">
      <c r="A312" s="15" t="n"/>
      <c r="B312" s="16" t="n"/>
      <c r="C312" s="16" t="n"/>
      <c r="D312" s="17" t="n"/>
      <c r="E312" s="17" t="n"/>
      <c r="F312" s="16" t="n"/>
      <c r="G312" s="16" t="n"/>
      <c r="H312" s="16" t="n"/>
      <c r="I312" s="16" t="n"/>
      <c r="J312" s="16" t="n"/>
      <c r="K312" s="16" t="n"/>
      <c r="L312" s="18">
        <f>IF(AND(D312="",E312=""),"",IFERROR(IF(F312&lt;&gt;"",F312,0)+IF(H312&lt;&gt;"",H312,0)+IF(J312&lt;&gt;"",J312,0),""))</f>
        <v/>
      </c>
      <c r="M312" s="18">
        <f>IF(AND(D312="",E312=""),"",IFERROR(IF(G312&lt;&gt;"",G312,0)+IF(I312&lt;&gt;"",I312,0)+IF(K312&lt;&gt;"",K312,0),""))</f>
        <v/>
      </c>
      <c r="N312" s="18">
        <f>IF(OR(L312="",M312=""),"",IF(L312&gt;M312,D312,IF(M312&gt;L312,E312,"Draw")))</f>
        <v/>
      </c>
      <c r="O312" s="18">
        <f>IF(AND(D312="",E312=""),"",IF(AND(L312&lt;&gt;"",M312&lt;&gt;""),"Completed","Scheduled"))</f>
        <v/>
      </c>
    </row>
    <row r="313">
      <c r="A313" s="15" t="n"/>
      <c r="B313" s="16" t="n"/>
      <c r="C313" s="16" t="n"/>
      <c r="D313" s="17" t="n"/>
      <c r="E313" s="17" t="n"/>
      <c r="F313" s="16" t="n"/>
      <c r="G313" s="16" t="n"/>
      <c r="H313" s="16" t="n"/>
      <c r="I313" s="16" t="n"/>
      <c r="J313" s="16" t="n"/>
      <c r="K313" s="16" t="n"/>
      <c r="L313" s="18">
        <f>IF(AND(D313="",E313=""),"",IFERROR(IF(F313&lt;&gt;"",F313,0)+IF(H313&lt;&gt;"",H313,0)+IF(J313&lt;&gt;"",J313,0),""))</f>
        <v/>
      </c>
      <c r="M313" s="18">
        <f>IF(AND(D313="",E313=""),"",IFERROR(IF(G313&lt;&gt;"",G313,0)+IF(I313&lt;&gt;"",I313,0)+IF(K313&lt;&gt;"",K313,0),""))</f>
        <v/>
      </c>
      <c r="N313" s="18">
        <f>IF(OR(L313="",M313=""),"",IF(L313&gt;M313,D313,IF(M313&gt;L313,E313,"Draw")))</f>
        <v/>
      </c>
      <c r="O313" s="18">
        <f>IF(AND(D313="",E313=""),"",IF(AND(L313&lt;&gt;"",M313&lt;&gt;""),"Completed","Scheduled"))</f>
        <v/>
      </c>
    </row>
    <row r="314">
      <c r="A314" s="15" t="n"/>
      <c r="B314" s="16" t="n"/>
      <c r="C314" s="16" t="n"/>
      <c r="D314" s="17" t="n"/>
      <c r="E314" s="17" t="n"/>
      <c r="F314" s="16" t="n"/>
      <c r="G314" s="16" t="n"/>
      <c r="H314" s="16" t="n"/>
      <c r="I314" s="16" t="n"/>
      <c r="J314" s="16" t="n"/>
      <c r="K314" s="16" t="n"/>
      <c r="L314" s="18">
        <f>IF(AND(D314="",E314=""),"",IFERROR(IF(F314&lt;&gt;"",F314,0)+IF(H314&lt;&gt;"",H314,0)+IF(J314&lt;&gt;"",J314,0),""))</f>
        <v/>
      </c>
      <c r="M314" s="18">
        <f>IF(AND(D314="",E314=""),"",IFERROR(IF(G314&lt;&gt;"",G314,0)+IF(I314&lt;&gt;"",I314,0)+IF(K314&lt;&gt;"",K314,0),""))</f>
        <v/>
      </c>
      <c r="N314" s="18">
        <f>IF(OR(L314="",M314=""),"",IF(L314&gt;M314,D314,IF(M314&gt;L314,E314,"Draw")))</f>
        <v/>
      </c>
      <c r="O314" s="18">
        <f>IF(AND(D314="",E314=""),"",IF(AND(L314&lt;&gt;"",M314&lt;&gt;""),"Completed","Scheduled"))</f>
        <v/>
      </c>
    </row>
    <row r="315">
      <c r="A315" s="15" t="n"/>
      <c r="B315" s="16" t="n"/>
      <c r="C315" s="16" t="n"/>
      <c r="D315" s="17" t="n"/>
      <c r="E315" s="17" t="n"/>
      <c r="F315" s="16" t="n"/>
      <c r="G315" s="16" t="n"/>
      <c r="H315" s="16" t="n"/>
      <c r="I315" s="16" t="n"/>
      <c r="J315" s="16" t="n"/>
      <c r="K315" s="16" t="n"/>
      <c r="L315" s="18">
        <f>IF(AND(D315="",E315=""),"",IFERROR(IF(F315&lt;&gt;"",F315,0)+IF(H315&lt;&gt;"",H315,0)+IF(J315&lt;&gt;"",J315,0),""))</f>
        <v/>
      </c>
      <c r="M315" s="18">
        <f>IF(AND(D315="",E315=""),"",IFERROR(IF(G315&lt;&gt;"",G315,0)+IF(I315&lt;&gt;"",I315,0)+IF(K315&lt;&gt;"",K315,0),""))</f>
        <v/>
      </c>
      <c r="N315" s="18">
        <f>IF(OR(L315="",M315=""),"",IF(L315&gt;M315,D315,IF(M315&gt;L315,E315,"Draw")))</f>
        <v/>
      </c>
      <c r="O315" s="18">
        <f>IF(AND(D315="",E315=""),"",IF(AND(L315&lt;&gt;"",M315&lt;&gt;""),"Completed","Scheduled"))</f>
        <v/>
      </c>
    </row>
    <row r="316">
      <c r="A316" s="15" t="n"/>
      <c r="B316" s="16" t="n"/>
      <c r="C316" s="16" t="n"/>
      <c r="D316" s="17" t="n"/>
      <c r="E316" s="17" t="n"/>
      <c r="F316" s="16" t="n"/>
      <c r="G316" s="16" t="n"/>
      <c r="H316" s="16" t="n"/>
      <c r="I316" s="16" t="n"/>
      <c r="J316" s="16" t="n"/>
      <c r="K316" s="16" t="n"/>
      <c r="L316" s="18">
        <f>IF(AND(D316="",E316=""),"",IFERROR(IF(F316&lt;&gt;"",F316,0)+IF(H316&lt;&gt;"",H316,0)+IF(J316&lt;&gt;"",J316,0),""))</f>
        <v/>
      </c>
      <c r="M316" s="18">
        <f>IF(AND(D316="",E316=""),"",IFERROR(IF(G316&lt;&gt;"",G316,0)+IF(I316&lt;&gt;"",I316,0)+IF(K316&lt;&gt;"",K316,0),""))</f>
        <v/>
      </c>
      <c r="N316" s="18">
        <f>IF(OR(L316="",M316=""),"",IF(L316&gt;M316,D316,IF(M316&gt;L316,E316,"Draw")))</f>
        <v/>
      </c>
      <c r="O316" s="18">
        <f>IF(AND(D316="",E316=""),"",IF(AND(L316&lt;&gt;"",M316&lt;&gt;""),"Completed","Scheduled"))</f>
        <v/>
      </c>
    </row>
    <row r="317">
      <c r="A317" s="15" t="n"/>
      <c r="B317" s="16" t="n"/>
      <c r="C317" s="16" t="n"/>
      <c r="D317" s="17" t="n"/>
      <c r="E317" s="17" t="n"/>
      <c r="F317" s="16" t="n"/>
      <c r="G317" s="16" t="n"/>
      <c r="H317" s="16" t="n"/>
      <c r="I317" s="16" t="n"/>
      <c r="J317" s="16" t="n"/>
      <c r="K317" s="16" t="n"/>
      <c r="L317" s="18">
        <f>IF(AND(D317="",E317=""),"",IFERROR(IF(F317&lt;&gt;"",F317,0)+IF(H317&lt;&gt;"",H317,0)+IF(J317&lt;&gt;"",J317,0),""))</f>
        <v/>
      </c>
      <c r="M317" s="18">
        <f>IF(AND(D317="",E317=""),"",IFERROR(IF(G317&lt;&gt;"",G317,0)+IF(I317&lt;&gt;"",I317,0)+IF(K317&lt;&gt;"",K317,0),""))</f>
        <v/>
      </c>
      <c r="N317" s="18">
        <f>IF(OR(L317="",M317=""),"",IF(L317&gt;M317,D317,IF(M317&gt;L317,E317,"Draw")))</f>
        <v/>
      </c>
      <c r="O317" s="18">
        <f>IF(AND(D317="",E317=""),"",IF(AND(L317&lt;&gt;"",M317&lt;&gt;""),"Completed","Scheduled"))</f>
        <v/>
      </c>
    </row>
    <row r="318">
      <c r="A318" s="15" t="n"/>
      <c r="B318" s="16" t="n"/>
      <c r="C318" s="16" t="n"/>
      <c r="D318" s="17" t="n"/>
      <c r="E318" s="17" t="n"/>
      <c r="F318" s="16" t="n"/>
      <c r="G318" s="16" t="n"/>
      <c r="H318" s="16" t="n"/>
      <c r="I318" s="16" t="n"/>
      <c r="J318" s="16" t="n"/>
      <c r="K318" s="16" t="n"/>
      <c r="L318" s="18">
        <f>IF(AND(D318="",E318=""),"",IFERROR(IF(F318&lt;&gt;"",F318,0)+IF(H318&lt;&gt;"",H318,0)+IF(J318&lt;&gt;"",J318,0),""))</f>
        <v/>
      </c>
      <c r="M318" s="18">
        <f>IF(AND(D318="",E318=""),"",IFERROR(IF(G318&lt;&gt;"",G318,0)+IF(I318&lt;&gt;"",I318,0)+IF(K318&lt;&gt;"",K318,0),""))</f>
        <v/>
      </c>
      <c r="N318" s="18">
        <f>IF(OR(L318="",M318=""),"",IF(L318&gt;M318,D318,IF(M318&gt;L318,E318,"Draw")))</f>
        <v/>
      </c>
      <c r="O318" s="18">
        <f>IF(AND(D318="",E318=""),"",IF(AND(L318&lt;&gt;"",M318&lt;&gt;""),"Completed","Scheduled"))</f>
        <v/>
      </c>
    </row>
    <row r="319">
      <c r="A319" s="15" t="n"/>
      <c r="B319" s="16" t="n"/>
      <c r="C319" s="16" t="n"/>
      <c r="D319" s="17" t="n"/>
      <c r="E319" s="17" t="n"/>
      <c r="F319" s="16" t="n"/>
      <c r="G319" s="16" t="n"/>
      <c r="H319" s="16" t="n"/>
      <c r="I319" s="16" t="n"/>
      <c r="J319" s="16" t="n"/>
      <c r="K319" s="16" t="n"/>
      <c r="L319" s="18">
        <f>IF(AND(D319="",E319=""),"",IFERROR(IF(F319&lt;&gt;"",F319,0)+IF(H319&lt;&gt;"",H319,0)+IF(J319&lt;&gt;"",J319,0),""))</f>
        <v/>
      </c>
      <c r="M319" s="18">
        <f>IF(AND(D319="",E319=""),"",IFERROR(IF(G319&lt;&gt;"",G319,0)+IF(I319&lt;&gt;"",I319,0)+IF(K319&lt;&gt;"",K319,0),""))</f>
        <v/>
      </c>
      <c r="N319" s="18">
        <f>IF(OR(L319="",M319=""),"",IF(L319&gt;M319,D319,IF(M319&gt;L319,E319,"Draw")))</f>
        <v/>
      </c>
      <c r="O319" s="18">
        <f>IF(AND(D319="",E319=""),"",IF(AND(L319&lt;&gt;"",M319&lt;&gt;""),"Completed","Scheduled"))</f>
        <v/>
      </c>
    </row>
    <row r="320">
      <c r="A320" s="15" t="n"/>
      <c r="B320" s="16" t="n"/>
      <c r="C320" s="16" t="n"/>
      <c r="D320" s="17" t="n"/>
      <c r="E320" s="17" t="n"/>
      <c r="F320" s="16" t="n"/>
      <c r="G320" s="16" t="n"/>
      <c r="H320" s="16" t="n"/>
      <c r="I320" s="16" t="n"/>
      <c r="J320" s="16" t="n"/>
      <c r="K320" s="16" t="n"/>
      <c r="L320" s="18">
        <f>IF(AND(D320="",E320=""),"",IFERROR(IF(F320&lt;&gt;"",F320,0)+IF(H320&lt;&gt;"",H320,0)+IF(J320&lt;&gt;"",J320,0),""))</f>
        <v/>
      </c>
      <c r="M320" s="18">
        <f>IF(AND(D320="",E320=""),"",IFERROR(IF(G320&lt;&gt;"",G320,0)+IF(I320&lt;&gt;"",I320,0)+IF(K320&lt;&gt;"",K320,0),""))</f>
        <v/>
      </c>
      <c r="N320" s="18">
        <f>IF(OR(L320="",M320=""),"",IF(L320&gt;M320,D320,IF(M320&gt;L320,E320,"Draw")))</f>
        <v/>
      </c>
      <c r="O320" s="18">
        <f>IF(AND(D320="",E320=""),"",IF(AND(L320&lt;&gt;"",M320&lt;&gt;""),"Completed","Scheduled"))</f>
        <v/>
      </c>
    </row>
    <row r="321">
      <c r="A321" s="15" t="n"/>
      <c r="B321" s="16" t="n"/>
      <c r="C321" s="16" t="n"/>
      <c r="D321" s="17" t="n"/>
      <c r="E321" s="17" t="n"/>
      <c r="F321" s="16" t="n"/>
      <c r="G321" s="16" t="n"/>
      <c r="H321" s="16" t="n"/>
      <c r="I321" s="16" t="n"/>
      <c r="J321" s="16" t="n"/>
      <c r="K321" s="16" t="n"/>
      <c r="L321" s="18">
        <f>IF(AND(D321="",E321=""),"",IFERROR(IF(F321&lt;&gt;"",F321,0)+IF(H321&lt;&gt;"",H321,0)+IF(J321&lt;&gt;"",J321,0),""))</f>
        <v/>
      </c>
      <c r="M321" s="18">
        <f>IF(AND(D321="",E321=""),"",IFERROR(IF(G321&lt;&gt;"",G321,0)+IF(I321&lt;&gt;"",I321,0)+IF(K321&lt;&gt;"",K321,0),""))</f>
        <v/>
      </c>
      <c r="N321" s="18">
        <f>IF(OR(L321="",M321=""),"",IF(L321&gt;M321,D321,IF(M321&gt;L321,E321,"Draw")))</f>
        <v/>
      </c>
      <c r="O321" s="18">
        <f>IF(AND(D321="",E321=""),"",IF(AND(L321&lt;&gt;"",M321&lt;&gt;""),"Completed","Scheduled"))</f>
        <v/>
      </c>
    </row>
    <row r="322">
      <c r="A322" s="15" t="n"/>
      <c r="B322" s="16" t="n"/>
      <c r="C322" s="16" t="n"/>
      <c r="D322" s="17" t="n"/>
      <c r="E322" s="17" t="n"/>
      <c r="F322" s="16" t="n"/>
      <c r="G322" s="16" t="n"/>
      <c r="H322" s="16" t="n"/>
      <c r="I322" s="16" t="n"/>
      <c r="J322" s="16" t="n"/>
      <c r="K322" s="16" t="n"/>
      <c r="L322" s="18">
        <f>IF(AND(D322="",E322=""),"",IFERROR(IF(F322&lt;&gt;"",F322,0)+IF(H322&lt;&gt;"",H322,0)+IF(J322&lt;&gt;"",J322,0),""))</f>
        <v/>
      </c>
      <c r="M322" s="18">
        <f>IF(AND(D322="",E322=""),"",IFERROR(IF(G322&lt;&gt;"",G322,0)+IF(I322&lt;&gt;"",I322,0)+IF(K322&lt;&gt;"",K322,0),""))</f>
        <v/>
      </c>
      <c r="N322" s="18">
        <f>IF(OR(L322="",M322=""),"",IF(L322&gt;M322,D322,IF(M322&gt;L322,E322,"Draw")))</f>
        <v/>
      </c>
      <c r="O322" s="18">
        <f>IF(AND(D322="",E322=""),"",IF(AND(L322&lt;&gt;"",M322&lt;&gt;""),"Completed","Scheduled"))</f>
        <v/>
      </c>
    </row>
    <row r="323">
      <c r="A323" s="15" t="n"/>
      <c r="B323" s="16" t="n"/>
      <c r="C323" s="16" t="n"/>
      <c r="D323" s="17" t="n"/>
      <c r="E323" s="17" t="n"/>
      <c r="F323" s="16" t="n"/>
      <c r="G323" s="16" t="n"/>
      <c r="H323" s="16" t="n"/>
      <c r="I323" s="16" t="n"/>
      <c r="J323" s="16" t="n"/>
      <c r="K323" s="16" t="n"/>
      <c r="L323" s="18">
        <f>IF(AND(D323="",E323=""),"",IFERROR(IF(F323&lt;&gt;"",F323,0)+IF(H323&lt;&gt;"",H323,0)+IF(J323&lt;&gt;"",J323,0),""))</f>
        <v/>
      </c>
      <c r="M323" s="18">
        <f>IF(AND(D323="",E323=""),"",IFERROR(IF(G323&lt;&gt;"",G323,0)+IF(I323&lt;&gt;"",I323,0)+IF(K323&lt;&gt;"",K323,0),""))</f>
        <v/>
      </c>
      <c r="N323" s="18">
        <f>IF(OR(L323="",M323=""),"",IF(L323&gt;M323,D323,IF(M323&gt;L323,E323,"Draw")))</f>
        <v/>
      </c>
      <c r="O323" s="18">
        <f>IF(AND(D323="",E323=""),"",IF(AND(L323&lt;&gt;"",M323&lt;&gt;""),"Completed","Scheduled"))</f>
        <v/>
      </c>
    </row>
    <row r="324">
      <c r="A324" s="15" t="n"/>
      <c r="B324" s="16" t="n"/>
      <c r="C324" s="16" t="n"/>
      <c r="D324" s="17" t="n"/>
      <c r="E324" s="17" t="n"/>
      <c r="F324" s="16" t="n"/>
      <c r="G324" s="16" t="n"/>
      <c r="H324" s="16" t="n"/>
      <c r="I324" s="16" t="n"/>
      <c r="J324" s="16" t="n"/>
      <c r="K324" s="16" t="n"/>
      <c r="L324" s="18">
        <f>IF(AND(D324="",E324=""),"",IFERROR(IF(F324&lt;&gt;"",F324,0)+IF(H324&lt;&gt;"",H324,0)+IF(J324&lt;&gt;"",J324,0),""))</f>
        <v/>
      </c>
      <c r="M324" s="18">
        <f>IF(AND(D324="",E324=""),"",IFERROR(IF(G324&lt;&gt;"",G324,0)+IF(I324&lt;&gt;"",I324,0)+IF(K324&lt;&gt;"",K324,0),""))</f>
        <v/>
      </c>
      <c r="N324" s="18">
        <f>IF(OR(L324="",M324=""),"",IF(L324&gt;M324,D324,IF(M324&gt;L324,E324,"Draw")))</f>
        <v/>
      </c>
      <c r="O324" s="18">
        <f>IF(AND(D324="",E324=""),"",IF(AND(L324&lt;&gt;"",M324&lt;&gt;""),"Completed","Scheduled"))</f>
        <v/>
      </c>
    </row>
    <row r="325">
      <c r="A325" s="15" t="n"/>
      <c r="B325" s="16" t="n"/>
      <c r="C325" s="16" t="n"/>
      <c r="D325" s="17" t="n"/>
      <c r="E325" s="17" t="n"/>
      <c r="F325" s="16" t="n"/>
      <c r="G325" s="16" t="n"/>
      <c r="H325" s="16" t="n"/>
      <c r="I325" s="16" t="n"/>
      <c r="J325" s="16" t="n"/>
      <c r="K325" s="16" t="n"/>
      <c r="L325" s="18">
        <f>IF(AND(D325="",E325=""),"",IFERROR(IF(F325&lt;&gt;"",F325,0)+IF(H325&lt;&gt;"",H325,0)+IF(J325&lt;&gt;"",J325,0),""))</f>
        <v/>
      </c>
      <c r="M325" s="18">
        <f>IF(AND(D325="",E325=""),"",IFERROR(IF(G325&lt;&gt;"",G325,0)+IF(I325&lt;&gt;"",I325,0)+IF(K325&lt;&gt;"",K325,0),""))</f>
        <v/>
      </c>
      <c r="N325" s="18">
        <f>IF(OR(L325="",M325=""),"",IF(L325&gt;M325,D325,IF(M325&gt;L325,E325,"Draw")))</f>
        <v/>
      </c>
      <c r="O325" s="18">
        <f>IF(AND(D325="",E325=""),"",IF(AND(L325&lt;&gt;"",M325&lt;&gt;""),"Completed","Scheduled"))</f>
        <v/>
      </c>
    </row>
    <row r="326">
      <c r="A326" s="15" t="n"/>
      <c r="B326" s="16" t="n"/>
      <c r="C326" s="16" t="n"/>
      <c r="D326" s="17" t="n"/>
      <c r="E326" s="17" t="n"/>
      <c r="F326" s="16" t="n"/>
      <c r="G326" s="16" t="n"/>
      <c r="H326" s="16" t="n"/>
      <c r="I326" s="16" t="n"/>
      <c r="J326" s="16" t="n"/>
      <c r="K326" s="16" t="n"/>
      <c r="L326" s="18">
        <f>IF(AND(D326="",E326=""),"",IFERROR(IF(F326&lt;&gt;"",F326,0)+IF(H326&lt;&gt;"",H326,0)+IF(J326&lt;&gt;"",J326,0),""))</f>
        <v/>
      </c>
      <c r="M326" s="18">
        <f>IF(AND(D326="",E326=""),"",IFERROR(IF(G326&lt;&gt;"",G326,0)+IF(I326&lt;&gt;"",I326,0)+IF(K326&lt;&gt;"",K326,0),""))</f>
        <v/>
      </c>
      <c r="N326" s="18">
        <f>IF(OR(L326="",M326=""),"",IF(L326&gt;M326,D326,IF(M326&gt;L326,E326,"Draw")))</f>
        <v/>
      </c>
      <c r="O326" s="18">
        <f>IF(AND(D326="",E326=""),"",IF(AND(L326&lt;&gt;"",M326&lt;&gt;""),"Completed","Scheduled"))</f>
        <v/>
      </c>
    </row>
    <row r="327">
      <c r="A327" s="15" t="n"/>
      <c r="B327" s="16" t="n"/>
      <c r="C327" s="16" t="n"/>
      <c r="D327" s="17" t="n"/>
      <c r="E327" s="17" t="n"/>
      <c r="F327" s="16" t="n"/>
      <c r="G327" s="16" t="n"/>
      <c r="H327" s="16" t="n"/>
      <c r="I327" s="16" t="n"/>
      <c r="J327" s="16" t="n"/>
      <c r="K327" s="16" t="n"/>
      <c r="L327" s="18">
        <f>IF(AND(D327="",E327=""),"",IFERROR(IF(F327&lt;&gt;"",F327,0)+IF(H327&lt;&gt;"",H327,0)+IF(J327&lt;&gt;"",J327,0),""))</f>
        <v/>
      </c>
      <c r="M327" s="18">
        <f>IF(AND(D327="",E327=""),"",IFERROR(IF(G327&lt;&gt;"",G327,0)+IF(I327&lt;&gt;"",I327,0)+IF(K327&lt;&gt;"",K327,0),""))</f>
        <v/>
      </c>
      <c r="N327" s="18">
        <f>IF(OR(L327="",M327=""),"",IF(L327&gt;M327,D327,IF(M327&gt;L327,E327,"Draw")))</f>
        <v/>
      </c>
      <c r="O327" s="18">
        <f>IF(AND(D327="",E327=""),"",IF(AND(L327&lt;&gt;"",M327&lt;&gt;""),"Completed","Scheduled"))</f>
        <v/>
      </c>
    </row>
    <row r="328">
      <c r="A328" s="15" t="n"/>
      <c r="B328" s="16" t="n"/>
      <c r="C328" s="16" t="n"/>
      <c r="D328" s="17" t="n"/>
      <c r="E328" s="17" t="n"/>
      <c r="F328" s="16" t="n"/>
      <c r="G328" s="16" t="n"/>
      <c r="H328" s="16" t="n"/>
      <c r="I328" s="16" t="n"/>
      <c r="J328" s="16" t="n"/>
      <c r="K328" s="16" t="n"/>
      <c r="L328" s="18">
        <f>IF(AND(D328="",E328=""),"",IFERROR(IF(F328&lt;&gt;"",F328,0)+IF(H328&lt;&gt;"",H328,0)+IF(J328&lt;&gt;"",J328,0),""))</f>
        <v/>
      </c>
      <c r="M328" s="18">
        <f>IF(AND(D328="",E328=""),"",IFERROR(IF(G328&lt;&gt;"",G328,0)+IF(I328&lt;&gt;"",I328,0)+IF(K328&lt;&gt;"",K328,0),""))</f>
        <v/>
      </c>
      <c r="N328" s="18">
        <f>IF(OR(L328="",M328=""),"",IF(L328&gt;M328,D328,IF(M328&gt;L328,E328,"Draw")))</f>
        <v/>
      </c>
      <c r="O328" s="18">
        <f>IF(AND(D328="",E328=""),"",IF(AND(L328&lt;&gt;"",M328&lt;&gt;""),"Completed","Scheduled"))</f>
        <v/>
      </c>
    </row>
    <row r="329">
      <c r="A329" s="15" t="n"/>
      <c r="B329" s="16" t="n"/>
      <c r="C329" s="16" t="n"/>
      <c r="D329" s="17" t="n"/>
      <c r="E329" s="17" t="n"/>
      <c r="F329" s="16" t="n"/>
      <c r="G329" s="16" t="n"/>
      <c r="H329" s="16" t="n"/>
      <c r="I329" s="16" t="n"/>
      <c r="J329" s="16" t="n"/>
      <c r="K329" s="16" t="n"/>
      <c r="L329" s="18">
        <f>IF(AND(D329="",E329=""),"",IFERROR(IF(F329&lt;&gt;"",F329,0)+IF(H329&lt;&gt;"",H329,0)+IF(J329&lt;&gt;"",J329,0),""))</f>
        <v/>
      </c>
      <c r="M329" s="18">
        <f>IF(AND(D329="",E329=""),"",IFERROR(IF(G329&lt;&gt;"",G329,0)+IF(I329&lt;&gt;"",I329,0)+IF(K329&lt;&gt;"",K329,0),""))</f>
        <v/>
      </c>
      <c r="N329" s="18">
        <f>IF(OR(L329="",M329=""),"",IF(L329&gt;M329,D329,IF(M329&gt;L329,E329,"Draw")))</f>
        <v/>
      </c>
      <c r="O329" s="18">
        <f>IF(AND(D329="",E329=""),"",IF(AND(L329&lt;&gt;"",M329&lt;&gt;""),"Completed","Scheduled"))</f>
        <v/>
      </c>
    </row>
    <row r="330">
      <c r="A330" s="15" t="n"/>
      <c r="B330" s="16" t="n"/>
      <c r="C330" s="16" t="n"/>
      <c r="D330" s="17" t="n"/>
      <c r="E330" s="17" t="n"/>
      <c r="F330" s="16" t="n"/>
      <c r="G330" s="16" t="n"/>
      <c r="H330" s="16" t="n"/>
      <c r="I330" s="16" t="n"/>
      <c r="J330" s="16" t="n"/>
      <c r="K330" s="16" t="n"/>
      <c r="L330" s="18">
        <f>IF(AND(D330="",E330=""),"",IFERROR(IF(F330&lt;&gt;"",F330,0)+IF(H330&lt;&gt;"",H330,0)+IF(J330&lt;&gt;"",J330,0),""))</f>
        <v/>
      </c>
      <c r="M330" s="18">
        <f>IF(AND(D330="",E330=""),"",IFERROR(IF(G330&lt;&gt;"",G330,0)+IF(I330&lt;&gt;"",I330,0)+IF(K330&lt;&gt;"",K330,0),""))</f>
        <v/>
      </c>
      <c r="N330" s="18">
        <f>IF(OR(L330="",M330=""),"",IF(L330&gt;M330,D330,IF(M330&gt;L330,E330,"Draw")))</f>
        <v/>
      </c>
      <c r="O330" s="18">
        <f>IF(AND(D330="",E330=""),"",IF(AND(L330&lt;&gt;"",M330&lt;&gt;""),"Completed","Scheduled"))</f>
        <v/>
      </c>
    </row>
    <row r="331">
      <c r="A331" s="15" t="n"/>
      <c r="B331" s="16" t="n"/>
      <c r="C331" s="16" t="n"/>
      <c r="D331" s="17" t="n"/>
      <c r="E331" s="17" t="n"/>
      <c r="F331" s="16" t="n"/>
      <c r="G331" s="16" t="n"/>
      <c r="H331" s="16" t="n"/>
      <c r="I331" s="16" t="n"/>
      <c r="J331" s="16" t="n"/>
      <c r="K331" s="16" t="n"/>
      <c r="L331" s="18">
        <f>IF(AND(D331="",E331=""),"",IFERROR(IF(F331&lt;&gt;"",F331,0)+IF(H331&lt;&gt;"",H331,0)+IF(J331&lt;&gt;"",J331,0),""))</f>
        <v/>
      </c>
      <c r="M331" s="18">
        <f>IF(AND(D331="",E331=""),"",IFERROR(IF(G331&lt;&gt;"",G331,0)+IF(I331&lt;&gt;"",I331,0)+IF(K331&lt;&gt;"",K331,0),""))</f>
        <v/>
      </c>
      <c r="N331" s="18">
        <f>IF(OR(L331="",M331=""),"",IF(L331&gt;M331,D331,IF(M331&gt;L331,E331,"Draw")))</f>
        <v/>
      </c>
      <c r="O331" s="18">
        <f>IF(AND(D331="",E331=""),"",IF(AND(L331&lt;&gt;"",M331&lt;&gt;""),"Completed","Scheduled"))</f>
        <v/>
      </c>
    </row>
    <row r="332">
      <c r="A332" s="15" t="n"/>
      <c r="B332" s="16" t="n"/>
      <c r="C332" s="16" t="n"/>
      <c r="D332" s="17" t="n"/>
      <c r="E332" s="17" t="n"/>
      <c r="F332" s="16" t="n"/>
      <c r="G332" s="16" t="n"/>
      <c r="H332" s="16" t="n"/>
      <c r="I332" s="16" t="n"/>
      <c r="J332" s="16" t="n"/>
      <c r="K332" s="16" t="n"/>
      <c r="L332" s="18">
        <f>IF(AND(D332="",E332=""),"",IFERROR(IF(F332&lt;&gt;"",F332,0)+IF(H332&lt;&gt;"",H332,0)+IF(J332&lt;&gt;"",J332,0),""))</f>
        <v/>
      </c>
      <c r="M332" s="18">
        <f>IF(AND(D332="",E332=""),"",IFERROR(IF(G332&lt;&gt;"",G332,0)+IF(I332&lt;&gt;"",I332,0)+IF(K332&lt;&gt;"",K332,0),""))</f>
        <v/>
      </c>
      <c r="N332" s="18">
        <f>IF(OR(L332="",M332=""),"",IF(L332&gt;M332,D332,IF(M332&gt;L332,E332,"Draw")))</f>
        <v/>
      </c>
      <c r="O332" s="18">
        <f>IF(AND(D332="",E332=""),"",IF(AND(L332&lt;&gt;"",M332&lt;&gt;""),"Completed","Scheduled"))</f>
        <v/>
      </c>
    </row>
    <row r="333">
      <c r="A333" s="15" t="n"/>
      <c r="B333" s="16" t="n"/>
      <c r="C333" s="16" t="n"/>
      <c r="D333" s="17" t="n"/>
      <c r="E333" s="17" t="n"/>
      <c r="F333" s="16" t="n"/>
      <c r="G333" s="16" t="n"/>
      <c r="H333" s="16" t="n"/>
      <c r="I333" s="16" t="n"/>
      <c r="J333" s="16" t="n"/>
      <c r="K333" s="16" t="n"/>
      <c r="L333" s="18">
        <f>IF(AND(D333="",E333=""),"",IFERROR(IF(F333&lt;&gt;"",F333,0)+IF(H333&lt;&gt;"",H333,0)+IF(J333&lt;&gt;"",J333,0),""))</f>
        <v/>
      </c>
      <c r="M333" s="18">
        <f>IF(AND(D333="",E333=""),"",IFERROR(IF(G333&lt;&gt;"",G333,0)+IF(I333&lt;&gt;"",I333,0)+IF(K333&lt;&gt;"",K333,0),""))</f>
        <v/>
      </c>
      <c r="N333" s="18">
        <f>IF(OR(L333="",M333=""),"",IF(L333&gt;M333,D333,IF(M333&gt;L333,E333,"Draw")))</f>
        <v/>
      </c>
      <c r="O333" s="18">
        <f>IF(AND(D333="",E333=""),"",IF(AND(L333&lt;&gt;"",M333&lt;&gt;""),"Completed","Scheduled"))</f>
        <v/>
      </c>
    </row>
    <row r="334">
      <c r="A334" s="15" t="n"/>
      <c r="B334" s="16" t="n"/>
      <c r="C334" s="16" t="n"/>
      <c r="D334" s="17" t="n"/>
      <c r="E334" s="17" t="n"/>
      <c r="F334" s="16" t="n"/>
      <c r="G334" s="16" t="n"/>
      <c r="H334" s="16" t="n"/>
      <c r="I334" s="16" t="n"/>
      <c r="J334" s="16" t="n"/>
      <c r="K334" s="16" t="n"/>
      <c r="L334" s="18">
        <f>IF(AND(D334="",E334=""),"",IFERROR(IF(F334&lt;&gt;"",F334,0)+IF(H334&lt;&gt;"",H334,0)+IF(J334&lt;&gt;"",J334,0),""))</f>
        <v/>
      </c>
      <c r="M334" s="18">
        <f>IF(AND(D334="",E334=""),"",IFERROR(IF(G334&lt;&gt;"",G334,0)+IF(I334&lt;&gt;"",I334,0)+IF(K334&lt;&gt;"",K334,0),""))</f>
        <v/>
      </c>
      <c r="N334" s="18">
        <f>IF(OR(L334="",M334=""),"",IF(L334&gt;M334,D334,IF(M334&gt;L334,E334,"Draw")))</f>
        <v/>
      </c>
      <c r="O334" s="18">
        <f>IF(AND(D334="",E334=""),"",IF(AND(L334&lt;&gt;"",M334&lt;&gt;""),"Completed","Scheduled"))</f>
        <v/>
      </c>
    </row>
    <row r="335">
      <c r="A335" s="15" t="n"/>
      <c r="B335" s="16" t="n"/>
      <c r="C335" s="16" t="n"/>
      <c r="D335" s="17" t="n"/>
      <c r="E335" s="17" t="n"/>
      <c r="F335" s="16" t="n"/>
      <c r="G335" s="16" t="n"/>
      <c r="H335" s="16" t="n"/>
      <c r="I335" s="16" t="n"/>
      <c r="J335" s="16" t="n"/>
      <c r="K335" s="16" t="n"/>
      <c r="L335" s="18">
        <f>IF(AND(D335="",E335=""),"",IFERROR(IF(F335&lt;&gt;"",F335,0)+IF(H335&lt;&gt;"",H335,0)+IF(J335&lt;&gt;"",J335,0),""))</f>
        <v/>
      </c>
      <c r="M335" s="18">
        <f>IF(AND(D335="",E335=""),"",IFERROR(IF(G335&lt;&gt;"",G335,0)+IF(I335&lt;&gt;"",I335,0)+IF(K335&lt;&gt;"",K335,0),""))</f>
        <v/>
      </c>
      <c r="N335" s="18">
        <f>IF(OR(L335="",M335=""),"",IF(L335&gt;M335,D335,IF(M335&gt;L335,E335,"Draw")))</f>
        <v/>
      </c>
      <c r="O335" s="18">
        <f>IF(AND(D335="",E335=""),"",IF(AND(L335&lt;&gt;"",M335&lt;&gt;""),"Completed","Scheduled"))</f>
        <v/>
      </c>
    </row>
    <row r="336">
      <c r="A336" s="15" t="n"/>
      <c r="B336" s="16" t="n"/>
      <c r="C336" s="16" t="n"/>
      <c r="D336" s="17" t="n"/>
      <c r="E336" s="17" t="n"/>
      <c r="F336" s="16" t="n"/>
      <c r="G336" s="16" t="n"/>
      <c r="H336" s="16" t="n"/>
      <c r="I336" s="16" t="n"/>
      <c r="J336" s="16" t="n"/>
      <c r="K336" s="16" t="n"/>
      <c r="L336" s="18">
        <f>IF(AND(D336="",E336=""),"",IFERROR(IF(F336&lt;&gt;"",F336,0)+IF(H336&lt;&gt;"",H336,0)+IF(J336&lt;&gt;"",J336,0),""))</f>
        <v/>
      </c>
      <c r="M336" s="18">
        <f>IF(AND(D336="",E336=""),"",IFERROR(IF(G336&lt;&gt;"",G336,0)+IF(I336&lt;&gt;"",I336,0)+IF(K336&lt;&gt;"",K336,0),""))</f>
        <v/>
      </c>
      <c r="N336" s="18">
        <f>IF(OR(L336="",M336=""),"",IF(L336&gt;M336,D336,IF(M336&gt;L336,E336,"Draw")))</f>
        <v/>
      </c>
      <c r="O336" s="18">
        <f>IF(AND(D336="",E336=""),"",IF(AND(L336&lt;&gt;"",M336&lt;&gt;""),"Completed","Scheduled"))</f>
        <v/>
      </c>
    </row>
    <row r="337">
      <c r="A337" s="15" t="n"/>
      <c r="B337" s="16" t="n"/>
      <c r="C337" s="16" t="n"/>
      <c r="D337" s="17" t="n"/>
      <c r="E337" s="17" t="n"/>
      <c r="F337" s="16" t="n"/>
      <c r="G337" s="16" t="n"/>
      <c r="H337" s="16" t="n"/>
      <c r="I337" s="16" t="n"/>
      <c r="J337" s="16" t="n"/>
      <c r="K337" s="16" t="n"/>
      <c r="L337" s="18">
        <f>IF(AND(D337="",E337=""),"",IFERROR(IF(F337&lt;&gt;"",F337,0)+IF(H337&lt;&gt;"",H337,0)+IF(J337&lt;&gt;"",J337,0),""))</f>
        <v/>
      </c>
      <c r="M337" s="18">
        <f>IF(AND(D337="",E337=""),"",IFERROR(IF(G337&lt;&gt;"",G337,0)+IF(I337&lt;&gt;"",I337,0)+IF(K337&lt;&gt;"",K337,0),""))</f>
        <v/>
      </c>
      <c r="N337" s="18">
        <f>IF(OR(L337="",M337=""),"",IF(L337&gt;M337,D337,IF(M337&gt;L337,E337,"Draw")))</f>
        <v/>
      </c>
      <c r="O337" s="18">
        <f>IF(AND(D337="",E337=""),"",IF(AND(L337&lt;&gt;"",M337&lt;&gt;""),"Completed","Scheduled"))</f>
        <v/>
      </c>
    </row>
    <row r="338">
      <c r="A338" s="15" t="n"/>
      <c r="B338" s="16" t="n"/>
      <c r="C338" s="16" t="n"/>
      <c r="D338" s="17" t="n"/>
      <c r="E338" s="17" t="n"/>
      <c r="F338" s="16" t="n"/>
      <c r="G338" s="16" t="n"/>
      <c r="H338" s="16" t="n"/>
      <c r="I338" s="16" t="n"/>
      <c r="J338" s="16" t="n"/>
      <c r="K338" s="16" t="n"/>
      <c r="L338" s="18">
        <f>IF(AND(D338="",E338=""),"",IFERROR(IF(F338&lt;&gt;"",F338,0)+IF(H338&lt;&gt;"",H338,0)+IF(J338&lt;&gt;"",J338,0),""))</f>
        <v/>
      </c>
      <c r="M338" s="18">
        <f>IF(AND(D338="",E338=""),"",IFERROR(IF(G338&lt;&gt;"",G338,0)+IF(I338&lt;&gt;"",I338,0)+IF(K338&lt;&gt;"",K338,0),""))</f>
        <v/>
      </c>
      <c r="N338" s="18">
        <f>IF(OR(L338="",M338=""),"",IF(L338&gt;M338,D338,IF(M338&gt;L338,E338,"Draw")))</f>
        <v/>
      </c>
      <c r="O338" s="18">
        <f>IF(AND(D338="",E338=""),"",IF(AND(L338&lt;&gt;"",M338&lt;&gt;""),"Completed","Scheduled"))</f>
        <v/>
      </c>
    </row>
    <row r="339">
      <c r="A339" s="15" t="n"/>
      <c r="B339" s="16" t="n"/>
      <c r="C339" s="16" t="n"/>
      <c r="D339" s="17" t="n"/>
      <c r="E339" s="17" t="n"/>
      <c r="F339" s="16" t="n"/>
      <c r="G339" s="16" t="n"/>
      <c r="H339" s="16" t="n"/>
      <c r="I339" s="16" t="n"/>
      <c r="J339" s="16" t="n"/>
      <c r="K339" s="16" t="n"/>
      <c r="L339" s="18">
        <f>IF(AND(D339="",E339=""),"",IFERROR(IF(F339&lt;&gt;"",F339,0)+IF(H339&lt;&gt;"",H339,0)+IF(J339&lt;&gt;"",J339,0),""))</f>
        <v/>
      </c>
      <c r="M339" s="18">
        <f>IF(AND(D339="",E339=""),"",IFERROR(IF(G339&lt;&gt;"",G339,0)+IF(I339&lt;&gt;"",I339,0)+IF(K339&lt;&gt;"",K339,0),""))</f>
        <v/>
      </c>
      <c r="N339" s="18">
        <f>IF(OR(L339="",M339=""),"",IF(L339&gt;M339,D339,IF(M339&gt;L339,E339,"Draw")))</f>
        <v/>
      </c>
      <c r="O339" s="18">
        <f>IF(AND(D339="",E339=""),"",IF(AND(L339&lt;&gt;"",M339&lt;&gt;""),"Completed","Scheduled"))</f>
        <v/>
      </c>
    </row>
    <row r="340">
      <c r="A340" s="15" t="n"/>
      <c r="B340" s="16" t="n"/>
      <c r="C340" s="16" t="n"/>
      <c r="D340" s="17" t="n"/>
      <c r="E340" s="17" t="n"/>
      <c r="F340" s="16" t="n"/>
      <c r="G340" s="16" t="n"/>
      <c r="H340" s="16" t="n"/>
      <c r="I340" s="16" t="n"/>
      <c r="J340" s="16" t="n"/>
      <c r="K340" s="16" t="n"/>
      <c r="L340" s="18">
        <f>IF(AND(D340="",E340=""),"",IFERROR(IF(F340&lt;&gt;"",F340,0)+IF(H340&lt;&gt;"",H340,0)+IF(J340&lt;&gt;"",J340,0),""))</f>
        <v/>
      </c>
      <c r="M340" s="18">
        <f>IF(AND(D340="",E340=""),"",IFERROR(IF(G340&lt;&gt;"",G340,0)+IF(I340&lt;&gt;"",I340,0)+IF(K340&lt;&gt;"",K340,0),""))</f>
        <v/>
      </c>
      <c r="N340" s="18">
        <f>IF(OR(L340="",M340=""),"",IF(L340&gt;M340,D340,IF(M340&gt;L340,E340,"Draw")))</f>
        <v/>
      </c>
      <c r="O340" s="18">
        <f>IF(AND(D340="",E340=""),"",IF(AND(L340&lt;&gt;"",M340&lt;&gt;""),"Completed","Scheduled"))</f>
        <v/>
      </c>
    </row>
    <row r="341">
      <c r="A341" s="15" t="n"/>
      <c r="B341" s="16" t="n"/>
      <c r="C341" s="16" t="n"/>
      <c r="D341" s="17" t="n"/>
      <c r="E341" s="17" t="n"/>
      <c r="F341" s="16" t="n"/>
      <c r="G341" s="16" t="n"/>
      <c r="H341" s="16" t="n"/>
      <c r="I341" s="16" t="n"/>
      <c r="J341" s="16" t="n"/>
      <c r="K341" s="16" t="n"/>
      <c r="L341" s="18">
        <f>IF(AND(D341="",E341=""),"",IFERROR(IF(F341&lt;&gt;"",F341,0)+IF(H341&lt;&gt;"",H341,0)+IF(J341&lt;&gt;"",J341,0),""))</f>
        <v/>
      </c>
      <c r="M341" s="18">
        <f>IF(AND(D341="",E341=""),"",IFERROR(IF(G341&lt;&gt;"",G341,0)+IF(I341&lt;&gt;"",I341,0)+IF(K341&lt;&gt;"",K341,0),""))</f>
        <v/>
      </c>
      <c r="N341" s="18">
        <f>IF(OR(L341="",M341=""),"",IF(L341&gt;M341,D341,IF(M341&gt;L341,E341,"Draw")))</f>
        <v/>
      </c>
      <c r="O341" s="18">
        <f>IF(AND(D341="",E341=""),"",IF(AND(L341&lt;&gt;"",M341&lt;&gt;""),"Completed","Scheduled"))</f>
        <v/>
      </c>
    </row>
    <row r="342">
      <c r="A342" s="15" t="n"/>
      <c r="B342" s="16" t="n"/>
      <c r="C342" s="16" t="n"/>
      <c r="D342" s="17" t="n"/>
      <c r="E342" s="17" t="n"/>
      <c r="F342" s="16" t="n"/>
      <c r="G342" s="16" t="n"/>
      <c r="H342" s="16" t="n"/>
      <c r="I342" s="16" t="n"/>
      <c r="J342" s="16" t="n"/>
      <c r="K342" s="16" t="n"/>
      <c r="L342" s="18">
        <f>IF(AND(D342="",E342=""),"",IFERROR(IF(F342&lt;&gt;"",F342,0)+IF(H342&lt;&gt;"",H342,0)+IF(J342&lt;&gt;"",J342,0),""))</f>
        <v/>
      </c>
      <c r="M342" s="18">
        <f>IF(AND(D342="",E342=""),"",IFERROR(IF(G342&lt;&gt;"",G342,0)+IF(I342&lt;&gt;"",I342,0)+IF(K342&lt;&gt;"",K342,0),""))</f>
        <v/>
      </c>
      <c r="N342" s="18">
        <f>IF(OR(L342="",M342=""),"",IF(L342&gt;M342,D342,IF(M342&gt;L342,E342,"Draw")))</f>
        <v/>
      </c>
      <c r="O342" s="18">
        <f>IF(AND(D342="",E342=""),"",IF(AND(L342&lt;&gt;"",M342&lt;&gt;""),"Completed","Scheduled"))</f>
        <v/>
      </c>
    </row>
    <row r="343">
      <c r="A343" s="15" t="n"/>
      <c r="B343" s="16" t="n"/>
      <c r="C343" s="16" t="n"/>
      <c r="D343" s="17" t="n"/>
      <c r="E343" s="17" t="n"/>
      <c r="F343" s="16" t="n"/>
      <c r="G343" s="16" t="n"/>
      <c r="H343" s="16" t="n"/>
      <c r="I343" s="16" t="n"/>
      <c r="J343" s="16" t="n"/>
      <c r="K343" s="16" t="n"/>
      <c r="L343" s="18">
        <f>IF(AND(D343="",E343=""),"",IFERROR(IF(F343&lt;&gt;"",F343,0)+IF(H343&lt;&gt;"",H343,0)+IF(J343&lt;&gt;"",J343,0),""))</f>
        <v/>
      </c>
      <c r="M343" s="18">
        <f>IF(AND(D343="",E343=""),"",IFERROR(IF(G343&lt;&gt;"",G343,0)+IF(I343&lt;&gt;"",I343,0)+IF(K343&lt;&gt;"",K343,0),""))</f>
        <v/>
      </c>
      <c r="N343" s="18">
        <f>IF(OR(L343="",M343=""),"",IF(L343&gt;M343,D343,IF(M343&gt;L343,E343,"Draw")))</f>
        <v/>
      </c>
      <c r="O343" s="18">
        <f>IF(AND(D343="",E343=""),"",IF(AND(L343&lt;&gt;"",M343&lt;&gt;""),"Completed","Scheduled"))</f>
        <v/>
      </c>
    </row>
    <row r="344">
      <c r="A344" s="15" t="n"/>
      <c r="B344" s="16" t="n"/>
      <c r="C344" s="16" t="n"/>
      <c r="D344" s="17" t="n"/>
      <c r="E344" s="17" t="n"/>
      <c r="F344" s="16" t="n"/>
      <c r="G344" s="16" t="n"/>
      <c r="H344" s="16" t="n"/>
      <c r="I344" s="16" t="n"/>
      <c r="J344" s="16" t="n"/>
      <c r="K344" s="16" t="n"/>
      <c r="L344" s="18">
        <f>IF(AND(D344="",E344=""),"",IFERROR(IF(F344&lt;&gt;"",F344,0)+IF(H344&lt;&gt;"",H344,0)+IF(J344&lt;&gt;"",J344,0),""))</f>
        <v/>
      </c>
      <c r="M344" s="18">
        <f>IF(AND(D344="",E344=""),"",IFERROR(IF(G344&lt;&gt;"",G344,0)+IF(I344&lt;&gt;"",I344,0)+IF(K344&lt;&gt;"",K344,0),""))</f>
        <v/>
      </c>
      <c r="N344" s="18">
        <f>IF(OR(L344="",M344=""),"",IF(L344&gt;M344,D344,IF(M344&gt;L344,E344,"Draw")))</f>
        <v/>
      </c>
      <c r="O344" s="18">
        <f>IF(AND(D344="",E344=""),"",IF(AND(L344&lt;&gt;"",M344&lt;&gt;""),"Completed","Scheduled"))</f>
        <v/>
      </c>
    </row>
    <row r="345">
      <c r="A345" s="15" t="n"/>
      <c r="B345" s="16" t="n"/>
      <c r="C345" s="16" t="n"/>
      <c r="D345" s="17" t="n"/>
      <c r="E345" s="17" t="n"/>
      <c r="F345" s="16" t="n"/>
      <c r="G345" s="16" t="n"/>
      <c r="H345" s="16" t="n"/>
      <c r="I345" s="16" t="n"/>
      <c r="J345" s="16" t="n"/>
      <c r="K345" s="16" t="n"/>
      <c r="L345" s="18">
        <f>IF(AND(D345="",E345=""),"",IFERROR(IF(F345&lt;&gt;"",F345,0)+IF(H345&lt;&gt;"",H345,0)+IF(J345&lt;&gt;"",J345,0),""))</f>
        <v/>
      </c>
      <c r="M345" s="18">
        <f>IF(AND(D345="",E345=""),"",IFERROR(IF(G345&lt;&gt;"",G345,0)+IF(I345&lt;&gt;"",I345,0)+IF(K345&lt;&gt;"",K345,0),""))</f>
        <v/>
      </c>
      <c r="N345" s="18">
        <f>IF(OR(L345="",M345=""),"",IF(L345&gt;M345,D345,IF(M345&gt;L345,E345,"Draw")))</f>
        <v/>
      </c>
      <c r="O345" s="18">
        <f>IF(AND(D345="",E345=""),"",IF(AND(L345&lt;&gt;"",M345&lt;&gt;""),"Completed","Scheduled"))</f>
        <v/>
      </c>
    </row>
    <row r="346">
      <c r="A346" s="15" t="n"/>
      <c r="B346" s="16" t="n"/>
      <c r="C346" s="16" t="n"/>
      <c r="D346" s="17" t="n"/>
      <c r="E346" s="17" t="n"/>
      <c r="F346" s="16" t="n"/>
      <c r="G346" s="16" t="n"/>
      <c r="H346" s="16" t="n"/>
      <c r="I346" s="16" t="n"/>
      <c r="J346" s="16" t="n"/>
      <c r="K346" s="16" t="n"/>
      <c r="L346" s="18">
        <f>IF(AND(D346="",E346=""),"",IFERROR(IF(F346&lt;&gt;"",F346,0)+IF(H346&lt;&gt;"",H346,0)+IF(J346&lt;&gt;"",J346,0),""))</f>
        <v/>
      </c>
      <c r="M346" s="18">
        <f>IF(AND(D346="",E346=""),"",IFERROR(IF(G346&lt;&gt;"",G346,0)+IF(I346&lt;&gt;"",I346,0)+IF(K346&lt;&gt;"",K346,0),""))</f>
        <v/>
      </c>
      <c r="N346" s="18">
        <f>IF(OR(L346="",M346=""),"",IF(L346&gt;M346,D346,IF(M346&gt;L346,E346,"Draw")))</f>
        <v/>
      </c>
      <c r="O346" s="18">
        <f>IF(AND(D346="",E346=""),"",IF(AND(L346&lt;&gt;"",M346&lt;&gt;""),"Completed","Scheduled"))</f>
        <v/>
      </c>
    </row>
    <row r="347">
      <c r="A347" s="15" t="n"/>
      <c r="B347" s="16" t="n"/>
      <c r="C347" s="16" t="n"/>
      <c r="D347" s="17" t="n"/>
      <c r="E347" s="17" t="n"/>
      <c r="F347" s="16" t="n"/>
      <c r="G347" s="16" t="n"/>
      <c r="H347" s="16" t="n"/>
      <c r="I347" s="16" t="n"/>
      <c r="J347" s="16" t="n"/>
      <c r="K347" s="16" t="n"/>
      <c r="L347" s="18">
        <f>IF(AND(D347="",E347=""),"",IFERROR(IF(F347&lt;&gt;"",F347,0)+IF(H347&lt;&gt;"",H347,0)+IF(J347&lt;&gt;"",J347,0),""))</f>
        <v/>
      </c>
      <c r="M347" s="18">
        <f>IF(AND(D347="",E347=""),"",IFERROR(IF(G347&lt;&gt;"",G347,0)+IF(I347&lt;&gt;"",I347,0)+IF(K347&lt;&gt;"",K347,0),""))</f>
        <v/>
      </c>
      <c r="N347" s="18">
        <f>IF(OR(L347="",M347=""),"",IF(L347&gt;M347,D347,IF(M347&gt;L347,E347,"Draw")))</f>
        <v/>
      </c>
      <c r="O347" s="18">
        <f>IF(AND(D347="",E347=""),"",IF(AND(L347&lt;&gt;"",M347&lt;&gt;""),"Completed","Scheduled"))</f>
        <v/>
      </c>
    </row>
    <row r="348">
      <c r="A348" s="15" t="n"/>
      <c r="B348" s="16" t="n"/>
      <c r="C348" s="16" t="n"/>
      <c r="D348" s="17" t="n"/>
      <c r="E348" s="17" t="n"/>
      <c r="F348" s="16" t="n"/>
      <c r="G348" s="16" t="n"/>
      <c r="H348" s="16" t="n"/>
      <c r="I348" s="16" t="n"/>
      <c r="J348" s="16" t="n"/>
      <c r="K348" s="16" t="n"/>
      <c r="L348" s="18">
        <f>IF(AND(D348="",E348=""),"",IFERROR(IF(F348&lt;&gt;"",F348,0)+IF(H348&lt;&gt;"",H348,0)+IF(J348&lt;&gt;"",J348,0),""))</f>
        <v/>
      </c>
      <c r="M348" s="18">
        <f>IF(AND(D348="",E348=""),"",IFERROR(IF(G348&lt;&gt;"",G348,0)+IF(I348&lt;&gt;"",I348,0)+IF(K348&lt;&gt;"",K348,0),""))</f>
        <v/>
      </c>
      <c r="N348" s="18">
        <f>IF(OR(L348="",M348=""),"",IF(L348&gt;M348,D348,IF(M348&gt;L348,E348,"Draw")))</f>
        <v/>
      </c>
      <c r="O348" s="18">
        <f>IF(AND(D348="",E348=""),"",IF(AND(L348&lt;&gt;"",M348&lt;&gt;""),"Completed","Scheduled"))</f>
        <v/>
      </c>
    </row>
    <row r="349">
      <c r="A349" s="15" t="n"/>
      <c r="B349" s="16" t="n"/>
      <c r="C349" s="16" t="n"/>
      <c r="D349" s="17" t="n"/>
      <c r="E349" s="17" t="n"/>
      <c r="F349" s="16" t="n"/>
      <c r="G349" s="16" t="n"/>
      <c r="H349" s="16" t="n"/>
      <c r="I349" s="16" t="n"/>
      <c r="J349" s="16" t="n"/>
      <c r="K349" s="16" t="n"/>
      <c r="L349" s="18">
        <f>IF(AND(D349="",E349=""),"",IFERROR(IF(F349&lt;&gt;"",F349,0)+IF(H349&lt;&gt;"",H349,0)+IF(J349&lt;&gt;"",J349,0),""))</f>
        <v/>
      </c>
      <c r="M349" s="18">
        <f>IF(AND(D349="",E349=""),"",IFERROR(IF(G349&lt;&gt;"",G349,0)+IF(I349&lt;&gt;"",I349,0)+IF(K349&lt;&gt;"",K349,0),""))</f>
        <v/>
      </c>
      <c r="N349" s="18">
        <f>IF(OR(L349="",M349=""),"",IF(L349&gt;M349,D349,IF(M349&gt;L349,E349,"Draw")))</f>
        <v/>
      </c>
      <c r="O349" s="18">
        <f>IF(AND(D349="",E349=""),"",IF(AND(L349&lt;&gt;"",M349&lt;&gt;""),"Completed","Scheduled"))</f>
        <v/>
      </c>
    </row>
    <row r="350">
      <c r="A350" s="15" t="n"/>
      <c r="B350" s="16" t="n"/>
      <c r="C350" s="16" t="n"/>
      <c r="D350" s="17" t="n"/>
      <c r="E350" s="17" t="n"/>
      <c r="F350" s="16" t="n"/>
      <c r="G350" s="16" t="n"/>
      <c r="H350" s="16" t="n"/>
      <c r="I350" s="16" t="n"/>
      <c r="J350" s="16" t="n"/>
      <c r="K350" s="16" t="n"/>
      <c r="L350" s="18">
        <f>IF(AND(D350="",E350=""),"",IFERROR(IF(F350&lt;&gt;"",F350,0)+IF(H350&lt;&gt;"",H350,0)+IF(J350&lt;&gt;"",J350,0),""))</f>
        <v/>
      </c>
      <c r="M350" s="18">
        <f>IF(AND(D350="",E350=""),"",IFERROR(IF(G350&lt;&gt;"",G350,0)+IF(I350&lt;&gt;"",I350,0)+IF(K350&lt;&gt;"",K350,0),""))</f>
        <v/>
      </c>
      <c r="N350" s="18">
        <f>IF(OR(L350="",M350=""),"",IF(L350&gt;M350,D350,IF(M350&gt;L350,E350,"Draw")))</f>
        <v/>
      </c>
      <c r="O350" s="18">
        <f>IF(AND(D350="",E350=""),"",IF(AND(L350&lt;&gt;"",M350&lt;&gt;""),"Completed","Scheduled"))</f>
        <v/>
      </c>
    </row>
    <row r="351">
      <c r="A351" s="15" t="n"/>
      <c r="B351" s="16" t="n"/>
      <c r="C351" s="16" t="n"/>
      <c r="D351" s="17" t="n"/>
      <c r="E351" s="17" t="n"/>
      <c r="F351" s="16" t="n"/>
      <c r="G351" s="16" t="n"/>
      <c r="H351" s="16" t="n"/>
      <c r="I351" s="16" t="n"/>
      <c r="J351" s="16" t="n"/>
      <c r="K351" s="16" t="n"/>
      <c r="L351" s="18">
        <f>IF(AND(D351="",E351=""),"",IFERROR(IF(F351&lt;&gt;"",F351,0)+IF(H351&lt;&gt;"",H351,0)+IF(J351&lt;&gt;"",J351,0),""))</f>
        <v/>
      </c>
      <c r="M351" s="18">
        <f>IF(AND(D351="",E351=""),"",IFERROR(IF(G351&lt;&gt;"",G351,0)+IF(I351&lt;&gt;"",I351,0)+IF(K351&lt;&gt;"",K351,0),""))</f>
        <v/>
      </c>
      <c r="N351" s="18">
        <f>IF(OR(L351="",M351=""),"",IF(L351&gt;M351,D351,IF(M351&gt;L351,E351,"Draw")))</f>
        <v/>
      </c>
      <c r="O351" s="18">
        <f>IF(AND(D351="",E351=""),"",IF(AND(L351&lt;&gt;"",M351&lt;&gt;""),"Completed","Scheduled"))</f>
        <v/>
      </c>
    </row>
    <row r="352">
      <c r="A352" s="15" t="n"/>
      <c r="B352" s="16" t="n"/>
      <c r="C352" s="16" t="n"/>
      <c r="D352" s="17" t="n"/>
      <c r="E352" s="17" t="n"/>
      <c r="F352" s="16" t="n"/>
      <c r="G352" s="16" t="n"/>
      <c r="H352" s="16" t="n"/>
      <c r="I352" s="16" t="n"/>
      <c r="J352" s="16" t="n"/>
      <c r="K352" s="16" t="n"/>
      <c r="L352" s="18">
        <f>IF(AND(D352="",E352=""),"",IFERROR(IF(F352&lt;&gt;"",F352,0)+IF(H352&lt;&gt;"",H352,0)+IF(J352&lt;&gt;"",J352,0),""))</f>
        <v/>
      </c>
      <c r="M352" s="18">
        <f>IF(AND(D352="",E352=""),"",IFERROR(IF(G352&lt;&gt;"",G352,0)+IF(I352&lt;&gt;"",I352,0)+IF(K352&lt;&gt;"",K352,0),""))</f>
        <v/>
      </c>
      <c r="N352" s="18">
        <f>IF(OR(L352="",M352=""),"",IF(L352&gt;M352,D352,IF(M352&gt;L352,E352,"Draw")))</f>
        <v/>
      </c>
      <c r="O352" s="18">
        <f>IF(AND(D352="",E352=""),"",IF(AND(L352&lt;&gt;"",M352&lt;&gt;""),"Completed","Scheduled"))</f>
        <v/>
      </c>
    </row>
    <row r="353">
      <c r="A353" s="15" t="n"/>
      <c r="B353" s="16" t="n"/>
      <c r="C353" s="16" t="n"/>
      <c r="D353" s="17" t="n"/>
      <c r="E353" s="17" t="n"/>
      <c r="F353" s="16" t="n"/>
      <c r="G353" s="16" t="n"/>
      <c r="H353" s="16" t="n"/>
      <c r="I353" s="16" t="n"/>
      <c r="J353" s="16" t="n"/>
      <c r="K353" s="16" t="n"/>
      <c r="L353" s="18">
        <f>IF(AND(D353="",E353=""),"",IFERROR(IF(F353&lt;&gt;"",F353,0)+IF(H353&lt;&gt;"",H353,0)+IF(J353&lt;&gt;"",J353,0),""))</f>
        <v/>
      </c>
      <c r="M353" s="18">
        <f>IF(AND(D353="",E353=""),"",IFERROR(IF(G353&lt;&gt;"",G353,0)+IF(I353&lt;&gt;"",I353,0)+IF(K353&lt;&gt;"",K353,0),""))</f>
        <v/>
      </c>
      <c r="N353" s="18">
        <f>IF(OR(L353="",M353=""),"",IF(L353&gt;M353,D353,IF(M353&gt;L353,E353,"Draw")))</f>
        <v/>
      </c>
      <c r="O353" s="18">
        <f>IF(AND(D353="",E353=""),"",IF(AND(L353&lt;&gt;"",M353&lt;&gt;""),"Completed","Scheduled"))</f>
        <v/>
      </c>
    </row>
    <row r="354">
      <c r="A354" s="15" t="n"/>
      <c r="B354" s="16" t="n"/>
      <c r="C354" s="16" t="n"/>
      <c r="D354" s="17" t="n"/>
      <c r="E354" s="17" t="n"/>
      <c r="F354" s="16" t="n"/>
      <c r="G354" s="16" t="n"/>
      <c r="H354" s="16" t="n"/>
      <c r="I354" s="16" t="n"/>
      <c r="J354" s="16" t="n"/>
      <c r="K354" s="16" t="n"/>
      <c r="L354" s="18">
        <f>IF(AND(D354="",E354=""),"",IFERROR(IF(F354&lt;&gt;"",F354,0)+IF(H354&lt;&gt;"",H354,0)+IF(J354&lt;&gt;"",J354,0),""))</f>
        <v/>
      </c>
      <c r="M354" s="18">
        <f>IF(AND(D354="",E354=""),"",IFERROR(IF(G354&lt;&gt;"",G354,0)+IF(I354&lt;&gt;"",I354,0)+IF(K354&lt;&gt;"",K354,0),""))</f>
        <v/>
      </c>
      <c r="N354" s="18">
        <f>IF(OR(L354="",M354=""),"",IF(L354&gt;M354,D354,IF(M354&gt;L354,E354,"Draw")))</f>
        <v/>
      </c>
      <c r="O354" s="18">
        <f>IF(AND(D354="",E354=""),"",IF(AND(L354&lt;&gt;"",M354&lt;&gt;""),"Completed","Scheduled"))</f>
        <v/>
      </c>
    </row>
    <row r="355">
      <c r="A355" s="15" t="n"/>
      <c r="B355" s="16" t="n"/>
      <c r="C355" s="16" t="n"/>
      <c r="D355" s="17" t="n"/>
      <c r="E355" s="17" t="n"/>
      <c r="F355" s="16" t="n"/>
      <c r="G355" s="16" t="n"/>
      <c r="H355" s="16" t="n"/>
      <c r="I355" s="16" t="n"/>
      <c r="J355" s="16" t="n"/>
      <c r="K355" s="16" t="n"/>
      <c r="L355" s="18">
        <f>IF(AND(D355="",E355=""),"",IFERROR(IF(F355&lt;&gt;"",F355,0)+IF(H355&lt;&gt;"",H355,0)+IF(J355&lt;&gt;"",J355,0),""))</f>
        <v/>
      </c>
      <c r="M355" s="18">
        <f>IF(AND(D355="",E355=""),"",IFERROR(IF(G355&lt;&gt;"",G355,0)+IF(I355&lt;&gt;"",I355,0)+IF(K355&lt;&gt;"",K355,0),""))</f>
        <v/>
      </c>
      <c r="N355" s="18">
        <f>IF(OR(L355="",M355=""),"",IF(L355&gt;M355,D355,IF(M355&gt;L355,E355,"Draw")))</f>
        <v/>
      </c>
      <c r="O355" s="18">
        <f>IF(AND(D355="",E355=""),"",IF(AND(L355&lt;&gt;"",M355&lt;&gt;""),"Completed","Scheduled"))</f>
        <v/>
      </c>
    </row>
    <row r="356">
      <c r="A356" s="15" t="n"/>
      <c r="B356" s="16" t="n"/>
      <c r="C356" s="16" t="n"/>
      <c r="D356" s="17" t="n"/>
      <c r="E356" s="17" t="n"/>
      <c r="F356" s="16" t="n"/>
      <c r="G356" s="16" t="n"/>
      <c r="H356" s="16" t="n"/>
      <c r="I356" s="16" t="n"/>
      <c r="J356" s="16" t="n"/>
      <c r="K356" s="16" t="n"/>
      <c r="L356" s="18">
        <f>IF(AND(D356="",E356=""),"",IFERROR(IF(F356&lt;&gt;"",F356,0)+IF(H356&lt;&gt;"",H356,0)+IF(J356&lt;&gt;"",J356,0),""))</f>
        <v/>
      </c>
      <c r="M356" s="18">
        <f>IF(AND(D356="",E356=""),"",IFERROR(IF(G356&lt;&gt;"",G356,0)+IF(I356&lt;&gt;"",I356,0)+IF(K356&lt;&gt;"",K356,0),""))</f>
        <v/>
      </c>
      <c r="N356" s="18">
        <f>IF(OR(L356="",M356=""),"",IF(L356&gt;M356,D356,IF(M356&gt;L356,E356,"Draw")))</f>
        <v/>
      </c>
      <c r="O356" s="18">
        <f>IF(AND(D356="",E356=""),"",IF(AND(L356&lt;&gt;"",M356&lt;&gt;""),"Completed","Scheduled"))</f>
        <v/>
      </c>
    </row>
    <row r="357">
      <c r="A357" s="15" t="n"/>
      <c r="B357" s="16" t="n"/>
      <c r="C357" s="16" t="n"/>
      <c r="D357" s="17" t="n"/>
      <c r="E357" s="17" t="n"/>
      <c r="F357" s="16" t="n"/>
      <c r="G357" s="16" t="n"/>
      <c r="H357" s="16" t="n"/>
      <c r="I357" s="16" t="n"/>
      <c r="J357" s="16" t="n"/>
      <c r="K357" s="16" t="n"/>
      <c r="L357" s="18">
        <f>IF(AND(D357="",E357=""),"",IFERROR(IF(F357&lt;&gt;"",F357,0)+IF(H357&lt;&gt;"",H357,0)+IF(J357&lt;&gt;"",J357,0),""))</f>
        <v/>
      </c>
      <c r="M357" s="18">
        <f>IF(AND(D357="",E357=""),"",IFERROR(IF(G357&lt;&gt;"",G357,0)+IF(I357&lt;&gt;"",I357,0)+IF(K357&lt;&gt;"",K357,0),""))</f>
        <v/>
      </c>
      <c r="N357" s="18">
        <f>IF(OR(L357="",M357=""),"",IF(L357&gt;M357,D357,IF(M357&gt;L357,E357,"Draw")))</f>
        <v/>
      </c>
      <c r="O357" s="18">
        <f>IF(AND(D357="",E357=""),"",IF(AND(L357&lt;&gt;"",M357&lt;&gt;""),"Completed","Scheduled"))</f>
        <v/>
      </c>
    </row>
    <row r="358">
      <c r="A358" s="15" t="n"/>
      <c r="B358" s="16" t="n"/>
      <c r="C358" s="16" t="n"/>
      <c r="D358" s="17" t="n"/>
      <c r="E358" s="17" t="n"/>
      <c r="F358" s="16" t="n"/>
      <c r="G358" s="16" t="n"/>
      <c r="H358" s="16" t="n"/>
      <c r="I358" s="16" t="n"/>
      <c r="J358" s="16" t="n"/>
      <c r="K358" s="16" t="n"/>
      <c r="L358" s="18">
        <f>IF(AND(D358="",E358=""),"",IFERROR(IF(F358&lt;&gt;"",F358,0)+IF(H358&lt;&gt;"",H358,0)+IF(J358&lt;&gt;"",J358,0),""))</f>
        <v/>
      </c>
      <c r="M358" s="18">
        <f>IF(AND(D358="",E358=""),"",IFERROR(IF(G358&lt;&gt;"",G358,0)+IF(I358&lt;&gt;"",I358,0)+IF(K358&lt;&gt;"",K358,0),""))</f>
        <v/>
      </c>
      <c r="N358" s="18">
        <f>IF(OR(L358="",M358=""),"",IF(L358&gt;M358,D358,IF(M358&gt;L358,E358,"Draw")))</f>
        <v/>
      </c>
      <c r="O358" s="18">
        <f>IF(AND(D358="",E358=""),"",IF(AND(L358&lt;&gt;"",M358&lt;&gt;""),"Completed","Scheduled"))</f>
        <v/>
      </c>
    </row>
    <row r="359">
      <c r="A359" s="15" t="n"/>
      <c r="B359" s="16" t="n"/>
      <c r="C359" s="16" t="n"/>
      <c r="D359" s="17" t="n"/>
      <c r="E359" s="17" t="n"/>
      <c r="F359" s="16" t="n"/>
      <c r="G359" s="16" t="n"/>
      <c r="H359" s="16" t="n"/>
      <c r="I359" s="16" t="n"/>
      <c r="J359" s="16" t="n"/>
      <c r="K359" s="16" t="n"/>
      <c r="L359" s="18">
        <f>IF(AND(D359="",E359=""),"",IFERROR(IF(F359&lt;&gt;"",F359,0)+IF(H359&lt;&gt;"",H359,0)+IF(J359&lt;&gt;"",J359,0),""))</f>
        <v/>
      </c>
      <c r="M359" s="18">
        <f>IF(AND(D359="",E359=""),"",IFERROR(IF(G359&lt;&gt;"",G359,0)+IF(I359&lt;&gt;"",I359,0)+IF(K359&lt;&gt;"",K359,0),""))</f>
        <v/>
      </c>
      <c r="N359" s="18">
        <f>IF(OR(L359="",M359=""),"",IF(L359&gt;M359,D359,IF(M359&gt;L359,E359,"Draw")))</f>
        <v/>
      </c>
      <c r="O359" s="18">
        <f>IF(AND(D359="",E359=""),"",IF(AND(L359&lt;&gt;"",M359&lt;&gt;""),"Completed","Scheduled"))</f>
        <v/>
      </c>
    </row>
    <row r="360">
      <c r="A360" s="15" t="n"/>
      <c r="B360" s="16" t="n"/>
      <c r="C360" s="16" t="n"/>
      <c r="D360" s="17" t="n"/>
      <c r="E360" s="17" t="n"/>
      <c r="F360" s="16" t="n"/>
      <c r="G360" s="16" t="n"/>
      <c r="H360" s="16" t="n"/>
      <c r="I360" s="16" t="n"/>
      <c r="J360" s="16" t="n"/>
      <c r="K360" s="16" t="n"/>
      <c r="L360" s="18">
        <f>IF(AND(D360="",E360=""),"",IFERROR(IF(F360&lt;&gt;"",F360,0)+IF(H360&lt;&gt;"",H360,0)+IF(J360&lt;&gt;"",J360,0),""))</f>
        <v/>
      </c>
      <c r="M360" s="18">
        <f>IF(AND(D360="",E360=""),"",IFERROR(IF(G360&lt;&gt;"",G360,0)+IF(I360&lt;&gt;"",I360,0)+IF(K360&lt;&gt;"",K360,0),""))</f>
        <v/>
      </c>
      <c r="N360" s="18">
        <f>IF(OR(L360="",M360=""),"",IF(L360&gt;M360,D360,IF(M360&gt;L360,E360,"Draw")))</f>
        <v/>
      </c>
      <c r="O360" s="18">
        <f>IF(AND(D360="",E360=""),"",IF(AND(L360&lt;&gt;"",M360&lt;&gt;""),"Completed","Scheduled"))</f>
        <v/>
      </c>
    </row>
    <row r="361">
      <c r="A361" s="15" t="n"/>
      <c r="B361" s="16" t="n"/>
      <c r="C361" s="16" t="n"/>
      <c r="D361" s="17" t="n"/>
      <c r="E361" s="17" t="n"/>
      <c r="F361" s="16" t="n"/>
      <c r="G361" s="16" t="n"/>
      <c r="H361" s="16" t="n"/>
      <c r="I361" s="16" t="n"/>
      <c r="J361" s="16" t="n"/>
      <c r="K361" s="16" t="n"/>
      <c r="L361" s="18">
        <f>IF(AND(D361="",E361=""),"",IFERROR(IF(F361&lt;&gt;"",F361,0)+IF(H361&lt;&gt;"",H361,0)+IF(J361&lt;&gt;"",J361,0),""))</f>
        <v/>
      </c>
      <c r="M361" s="18">
        <f>IF(AND(D361="",E361=""),"",IFERROR(IF(G361&lt;&gt;"",G361,0)+IF(I361&lt;&gt;"",I361,0)+IF(K361&lt;&gt;"",K361,0),""))</f>
        <v/>
      </c>
      <c r="N361" s="18">
        <f>IF(OR(L361="",M361=""),"",IF(L361&gt;M361,D361,IF(M361&gt;L361,E361,"Draw")))</f>
        <v/>
      </c>
      <c r="O361" s="18">
        <f>IF(AND(D361="",E361=""),"",IF(AND(L361&lt;&gt;"",M361&lt;&gt;""),"Completed","Scheduled"))</f>
        <v/>
      </c>
    </row>
    <row r="362">
      <c r="A362" s="15" t="n"/>
      <c r="B362" s="16" t="n"/>
      <c r="C362" s="16" t="n"/>
      <c r="D362" s="17" t="n"/>
      <c r="E362" s="17" t="n"/>
      <c r="F362" s="16" t="n"/>
      <c r="G362" s="16" t="n"/>
      <c r="H362" s="16" t="n"/>
      <c r="I362" s="16" t="n"/>
      <c r="J362" s="16" t="n"/>
      <c r="K362" s="16" t="n"/>
      <c r="L362" s="18">
        <f>IF(AND(D362="",E362=""),"",IFERROR(IF(F362&lt;&gt;"",F362,0)+IF(H362&lt;&gt;"",H362,0)+IF(J362&lt;&gt;"",J362,0),""))</f>
        <v/>
      </c>
      <c r="M362" s="18">
        <f>IF(AND(D362="",E362=""),"",IFERROR(IF(G362&lt;&gt;"",G362,0)+IF(I362&lt;&gt;"",I362,0)+IF(K362&lt;&gt;"",K362,0),""))</f>
        <v/>
      </c>
      <c r="N362" s="18">
        <f>IF(OR(L362="",M362=""),"",IF(L362&gt;M362,D362,IF(M362&gt;L362,E362,"Draw")))</f>
        <v/>
      </c>
      <c r="O362" s="18">
        <f>IF(AND(D362="",E362=""),"",IF(AND(L362&lt;&gt;"",M362&lt;&gt;""),"Completed","Scheduled"))</f>
        <v/>
      </c>
    </row>
    <row r="363">
      <c r="A363" s="15" t="n"/>
      <c r="B363" s="16" t="n"/>
      <c r="C363" s="16" t="n"/>
      <c r="D363" s="17" t="n"/>
      <c r="E363" s="17" t="n"/>
      <c r="F363" s="16" t="n"/>
      <c r="G363" s="16" t="n"/>
      <c r="H363" s="16" t="n"/>
      <c r="I363" s="16" t="n"/>
      <c r="J363" s="16" t="n"/>
      <c r="K363" s="16" t="n"/>
      <c r="L363" s="18">
        <f>IF(AND(D363="",E363=""),"",IFERROR(IF(F363&lt;&gt;"",F363,0)+IF(H363&lt;&gt;"",H363,0)+IF(J363&lt;&gt;"",J363,0),""))</f>
        <v/>
      </c>
      <c r="M363" s="18">
        <f>IF(AND(D363="",E363=""),"",IFERROR(IF(G363&lt;&gt;"",G363,0)+IF(I363&lt;&gt;"",I363,0)+IF(K363&lt;&gt;"",K363,0),""))</f>
        <v/>
      </c>
      <c r="N363" s="18">
        <f>IF(OR(L363="",M363=""),"",IF(L363&gt;M363,D363,IF(M363&gt;L363,E363,"Draw")))</f>
        <v/>
      </c>
      <c r="O363" s="18">
        <f>IF(AND(D363="",E363=""),"",IF(AND(L363&lt;&gt;"",M363&lt;&gt;""),"Completed","Scheduled"))</f>
        <v/>
      </c>
    </row>
    <row r="364">
      <c r="A364" s="15" t="n"/>
      <c r="B364" s="16" t="n"/>
      <c r="C364" s="16" t="n"/>
      <c r="D364" s="17" t="n"/>
      <c r="E364" s="17" t="n"/>
      <c r="F364" s="16" t="n"/>
      <c r="G364" s="16" t="n"/>
      <c r="H364" s="16" t="n"/>
      <c r="I364" s="16" t="n"/>
      <c r="J364" s="16" t="n"/>
      <c r="K364" s="16" t="n"/>
      <c r="L364" s="18">
        <f>IF(AND(D364="",E364=""),"",IFERROR(IF(F364&lt;&gt;"",F364,0)+IF(H364&lt;&gt;"",H364,0)+IF(J364&lt;&gt;"",J364,0),""))</f>
        <v/>
      </c>
      <c r="M364" s="18">
        <f>IF(AND(D364="",E364=""),"",IFERROR(IF(G364&lt;&gt;"",G364,0)+IF(I364&lt;&gt;"",I364,0)+IF(K364&lt;&gt;"",K364,0),""))</f>
        <v/>
      </c>
      <c r="N364" s="18">
        <f>IF(OR(L364="",M364=""),"",IF(L364&gt;M364,D364,IF(M364&gt;L364,E364,"Draw")))</f>
        <v/>
      </c>
      <c r="O364" s="18">
        <f>IF(AND(D364="",E364=""),"",IF(AND(L364&lt;&gt;"",M364&lt;&gt;""),"Completed","Scheduled"))</f>
        <v/>
      </c>
    </row>
    <row r="365">
      <c r="A365" s="15" t="n"/>
      <c r="B365" s="16" t="n"/>
      <c r="C365" s="16" t="n"/>
      <c r="D365" s="17" t="n"/>
      <c r="E365" s="17" t="n"/>
      <c r="F365" s="16" t="n"/>
      <c r="G365" s="16" t="n"/>
      <c r="H365" s="16" t="n"/>
      <c r="I365" s="16" t="n"/>
      <c r="J365" s="16" t="n"/>
      <c r="K365" s="16" t="n"/>
      <c r="L365" s="18">
        <f>IF(AND(D365="",E365=""),"",IFERROR(IF(F365&lt;&gt;"",F365,0)+IF(H365&lt;&gt;"",H365,0)+IF(J365&lt;&gt;"",J365,0),""))</f>
        <v/>
      </c>
      <c r="M365" s="18">
        <f>IF(AND(D365="",E365=""),"",IFERROR(IF(G365&lt;&gt;"",G365,0)+IF(I365&lt;&gt;"",I365,0)+IF(K365&lt;&gt;"",K365,0),""))</f>
        <v/>
      </c>
      <c r="N365" s="18">
        <f>IF(OR(L365="",M365=""),"",IF(L365&gt;M365,D365,IF(M365&gt;L365,E365,"Draw")))</f>
        <v/>
      </c>
      <c r="O365" s="18">
        <f>IF(AND(D365="",E365=""),"",IF(AND(L365&lt;&gt;"",M365&lt;&gt;""),"Completed","Scheduled"))</f>
        <v/>
      </c>
    </row>
    <row r="366">
      <c r="A366" s="15" t="n"/>
      <c r="B366" s="16" t="n"/>
      <c r="C366" s="16" t="n"/>
      <c r="D366" s="17" t="n"/>
      <c r="E366" s="17" t="n"/>
      <c r="F366" s="16" t="n"/>
      <c r="G366" s="16" t="n"/>
      <c r="H366" s="16" t="n"/>
      <c r="I366" s="16" t="n"/>
      <c r="J366" s="16" t="n"/>
      <c r="K366" s="16" t="n"/>
      <c r="L366" s="18">
        <f>IF(AND(D366="",E366=""),"",IFERROR(IF(F366&lt;&gt;"",F366,0)+IF(H366&lt;&gt;"",H366,0)+IF(J366&lt;&gt;"",J366,0),""))</f>
        <v/>
      </c>
      <c r="M366" s="18">
        <f>IF(AND(D366="",E366=""),"",IFERROR(IF(G366&lt;&gt;"",G366,0)+IF(I366&lt;&gt;"",I366,0)+IF(K366&lt;&gt;"",K366,0),""))</f>
        <v/>
      </c>
      <c r="N366" s="18">
        <f>IF(OR(L366="",M366=""),"",IF(L366&gt;M366,D366,IF(M366&gt;L366,E366,"Draw")))</f>
        <v/>
      </c>
      <c r="O366" s="18">
        <f>IF(AND(D366="",E366=""),"",IF(AND(L366&lt;&gt;"",M366&lt;&gt;""),"Completed","Scheduled"))</f>
        <v/>
      </c>
    </row>
    <row r="367">
      <c r="A367" s="15" t="n"/>
      <c r="B367" s="16" t="n"/>
      <c r="C367" s="16" t="n"/>
      <c r="D367" s="17" t="n"/>
      <c r="E367" s="17" t="n"/>
      <c r="F367" s="16" t="n"/>
      <c r="G367" s="16" t="n"/>
      <c r="H367" s="16" t="n"/>
      <c r="I367" s="16" t="n"/>
      <c r="J367" s="16" t="n"/>
      <c r="K367" s="16" t="n"/>
      <c r="L367" s="18">
        <f>IF(AND(D367="",E367=""),"",IFERROR(IF(F367&lt;&gt;"",F367,0)+IF(H367&lt;&gt;"",H367,0)+IF(J367&lt;&gt;"",J367,0),""))</f>
        <v/>
      </c>
      <c r="M367" s="18">
        <f>IF(AND(D367="",E367=""),"",IFERROR(IF(G367&lt;&gt;"",G367,0)+IF(I367&lt;&gt;"",I367,0)+IF(K367&lt;&gt;"",K367,0),""))</f>
        <v/>
      </c>
      <c r="N367" s="18">
        <f>IF(OR(L367="",M367=""),"",IF(L367&gt;M367,D367,IF(M367&gt;L367,E367,"Draw")))</f>
        <v/>
      </c>
      <c r="O367" s="18">
        <f>IF(AND(D367="",E367=""),"",IF(AND(L367&lt;&gt;"",M367&lt;&gt;""),"Completed","Scheduled"))</f>
        <v/>
      </c>
    </row>
    <row r="368">
      <c r="A368" s="15" t="n"/>
      <c r="B368" s="16" t="n"/>
      <c r="C368" s="16" t="n"/>
      <c r="D368" s="17" t="n"/>
      <c r="E368" s="17" t="n"/>
      <c r="F368" s="16" t="n"/>
      <c r="G368" s="16" t="n"/>
      <c r="H368" s="16" t="n"/>
      <c r="I368" s="16" t="n"/>
      <c r="J368" s="16" t="n"/>
      <c r="K368" s="16" t="n"/>
      <c r="L368" s="18">
        <f>IF(AND(D368="",E368=""),"",IFERROR(IF(F368&lt;&gt;"",F368,0)+IF(H368&lt;&gt;"",H368,0)+IF(J368&lt;&gt;"",J368,0),""))</f>
        <v/>
      </c>
      <c r="M368" s="18">
        <f>IF(AND(D368="",E368=""),"",IFERROR(IF(G368&lt;&gt;"",G368,0)+IF(I368&lt;&gt;"",I368,0)+IF(K368&lt;&gt;"",K368,0),""))</f>
        <v/>
      </c>
      <c r="N368" s="18">
        <f>IF(OR(L368="",M368=""),"",IF(L368&gt;M368,D368,IF(M368&gt;L368,E368,"Draw")))</f>
        <v/>
      </c>
      <c r="O368" s="18">
        <f>IF(AND(D368="",E368=""),"",IF(AND(L368&lt;&gt;"",M368&lt;&gt;""),"Completed","Scheduled"))</f>
        <v/>
      </c>
    </row>
    <row r="369">
      <c r="A369" s="15" t="n"/>
      <c r="B369" s="16" t="n"/>
      <c r="C369" s="16" t="n"/>
      <c r="D369" s="17" t="n"/>
      <c r="E369" s="17" t="n"/>
      <c r="F369" s="16" t="n"/>
      <c r="G369" s="16" t="n"/>
      <c r="H369" s="16" t="n"/>
      <c r="I369" s="16" t="n"/>
      <c r="J369" s="16" t="n"/>
      <c r="K369" s="16" t="n"/>
      <c r="L369" s="18">
        <f>IF(AND(D369="",E369=""),"",IFERROR(IF(F369&lt;&gt;"",F369,0)+IF(H369&lt;&gt;"",H369,0)+IF(J369&lt;&gt;"",J369,0),""))</f>
        <v/>
      </c>
      <c r="M369" s="18">
        <f>IF(AND(D369="",E369=""),"",IFERROR(IF(G369&lt;&gt;"",G369,0)+IF(I369&lt;&gt;"",I369,0)+IF(K369&lt;&gt;"",K369,0),""))</f>
        <v/>
      </c>
      <c r="N369" s="18">
        <f>IF(OR(L369="",M369=""),"",IF(L369&gt;M369,D369,IF(M369&gt;L369,E369,"Draw")))</f>
        <v/>
      </c>
      <c r="O369" s="18">
        <f>IF(AND(D369="",E369=""),"",IF(AND(L369&lt;&gt;"",M369&lt;&gt;""),"Completed","Scheduled"))</f>
        <v/>
      </c>
    </row>
    <row r="370">
      <c r="A370" s="15" t="n"/>
      <c r="B370" s="16" t="n"/>
      <c r="C370" s="16" t="n"/>
      <c r="D370" s="17" t="n"/>
      <c r="E370" s="17" t="n"/>
      <c r="F370" s="16" t="n"/>
      <c r="G370" s="16" t="n"/>
      <c r="H370" s="16" t="n"/>
      <c r="I370" s="16" t="n"/>
      <c r="J370" s="16" t="n"/>
      <c r="K370" s="16" t="n"/>
      <c r="L370" s="18">
        <f>IF(AND(D370="",E370=""),"",IFERROR(IF(F370&lt;&gt;"",F370,0)+IF(H370&lt;&gt;"",H370,0)+IF(J370&lt;&gt;"",J370,0),""))</f>
        <v/>
      </c>
      <c r="M370" s="18">
        <f>IF(AND(D370="",E370=""),"",IFERROR(IF(G370&lt;&gt;"",G370,0)+IF(I370&lt;&gt;"",I370,0)+IF(K370&lt;&gt;"",K370,0),""))</f>
        <v/>
      </c>
      <c r="N370" s="18">
        <f>IF(OR(L370="",M370=""),"",IF(L370&gt;M370,D370,IF(M370&gt;L370,E370,"Draw")))</f>
        <v/>
      </c>
      <c r="O370" s="18">
        <f>IF(AND(D370="",E370=""),"",IF(AND(L370&lt;&gt;"",M370&lt;&gt;""),"Completed","Scheduled"))</f>
        <v/>
      </c>
    </row>
    <row r="371">
      <c r="A371" s="15" t="n"/>
      <c r="B371" s="16" t="n"/>
      <c r="C371" s="16" t="n"/>
      <c r="D371" s="17" t="n"/>
      <c r="E371" s="17" t="n"/>
      <c r="F371" s="16" t="n"/>
      <c r="G371" s="16" t="n"/>
      <c r="H371" s="16" t="n"/>
      <c r="I371" s="16" t="n"/>
      <c r="J371" s="16" t="n"/>
      <c r="K371" s="16" t="n"/>
      <c r="L371" s="18">
        <f>IF(AND(D371="",E371=""),"",IFERROR(IF(F371&lt;&gt;"",F371,0)+IF(H371&lt;&gt;"",H371,0)+IF(J371&lt;&gt;"",J371,0),""))</f>
        <v/>
      </c>
      <c r="M371" s="18">
        <f>IF(AND(D371="",E371=""),"",IFERROR(IF(G371&lt;&gt;"",G371,0)+IF(I371&lt;&gt;"",I371,0)+IF(K371&lt;&gt;"",K371,0),""))</f>
        <v/>
      </c>
      <c r="N371" s="18">
        <f>IF(OR(L371="",M371=""),"",IF(L371&gt;M371,D371,IF(M371&gt;L371,E371,"Draw")))</f>
        <v/>
      </c>
      <c r="O371" s="18">
        <f>IF(AND(D371="",E371=""),"",IF(AND(L371&lt;&gt;"",M371&lt;&gt;""),"Completed","Scheduled"))</f>
        <v/>
      </c>
    </row>
    <row r="372">
      <c r="A372" s="15" t="n"/>
      <c r="B372" s="16" t="n"/>
      <c r="C372" s="16" t="n"/>
      <c r="D372" s="17" t="n"/>
      <c r="E372" s="17" t="n"/>
      <c r="F372" s="16" t="n"/>
      <c r="G372" s="16" t="n"/>
      <c r="H372" s="16" t="n"/>
      <c r="I372" s="16" t="n"/>
      <c r="J372" s="16" t="n"/>
      <c r="K372" s="16" t="n"/>
      <c r="L372" s="18">
        <f>IF(AND(D372="",E372=""),"",IFERROR(IF(F372&lt;&gt;"",F372,0)+IF(H372&lt;&gt;"",H372,0)+IF(J372&lt;&gt;"",J372,0),""))</f>
        <v/>
      </c>
      <c r="M372" s="18">
        <f>IF(AND(D372="",E372=""),"",IFERROR(IF(G372&lt;&gt;"",G372,0)+IF(I372&lt;&gt;"",I372,0)+IF(K372&lt;&gt;"",K372,0),""))</f>
        <v/>
      </c>
      <c r="N372" s="18">
        <f>IF(OR(L372="",M372=""),"",IF(L372&gt;M372,D372,IF(M372&gt;L372,E372,"Draw")))</f>
        <v/>
      </c>
      <c r="O372" s="18">
        <f>IF(AND(D372="",E372=""),"",IF(AND(L372&lt;&gt;"",M372&lt;&gt;""),"Completed","Scheduled"))</f>
        <v/>
      </c>
    </row>
    <row r="373">
      <c r="A373" s="15" t="n"/>
      <c r="B373" s="16" t="n"/>
      <c r="C373" s="16" t="n"/>
      <c r="D373" s="17" t="n"/>
      <c r="E373" s="17" t="n"/>
      <c r="F373" s="16" t="n"/>
      <c r="G373" s="16" t="n"/>
      <c r="H373" s="16" t="n"/>
      <c r="I373" s="16" t="n"/>
      <c r="J373" s="16" t="n"/>
      <c r="K373" s="16" t="n"/>
      <c r="L373" s="18">
        <f>IF(AND(D373="",E373=""),"",IFERROR(IF(F373&lt;&gt;"",F373,0)+IF(H373&lt;&gt;"",H373,0)+IF(J373&lt;&gt;"",J373,0),""))</f>
        <v/>
      </c>
      <c r="M373" s="18">
        <f>IF(AND(D373="",E373=""),"",IFERROR(IF(G373&lt;&gt;"",G373,0)+IF(I373&lt;&gt;"",I373,0)+IF(K373&lt;&gt;"",K373,0),""))</f>
        <v/>
      </c>
      <c r="N373" s="18">
        <f>IF(OR(L373="",M373=""),"",IF(L373&gt;M373,D373,IF(M373&gt;L373,E373,"Draw")))</f>
        <v/>
      </c>
      <c r="O373" s="18">
        <f>IF(AND(D373="",E373=""),"",IF(AND(L373&lt;&gt;"",M373&lt;&gt;""),"Completed","Scheduled"))</f>
        <v/>
      </c>
    </row>
    <row r="374">
      <c r="A374" s="15" t="n"/>
      <c r="B374" s="16" t="n"/>
      <c r="C374" s="16" t="n"/>
      <c r="D374" s="17" t="n"/>
      <c r="E374" s="17" t="n"/>
      <c r="F374" s="16" t="n"/>
      <c r="G374" s="16" t="n"/>
      <c r="H374" s="16" t="n"/>
      <c r="I374" s="16" t="n"/>
      <c r="J374" s="16" t="n"/>
      <c r="K374" s="16" t="n"/>
      <c r="L374" s="18">
        <f>IF(AND(D374="",E374=""),"",IFERROR(IF(F374&lt;&gt;"",F374,0)+IF(H374&lt;&gt;"",H374,0)+IF(J374&lt;&gt;"",J374,0),""))</f>
        <v/>
      </c>
      <c r="M374" s="18">
        <f>IF(AND(D374="",E374=""),"",IFERROR(IF(G374&lt;&gt;"",G374,0)+IF(I374&lt;&gt;"",I374,0)+IF(K374&lt;&gt;"",K374,0),""))</f>
        <v/>
      </c>
      <c r="N374" s="18">
        <f>IF(OR(L374="",M374=""),"",IF(L374&gt;M374,D374,IF(M374&gt;L374,E374,"Draw")))</f>
        <v/>
      </c>
      <c r="O374" s="18">
        <f>IF(AND(D374="",E374=""),"",IF(AND(L374&lt;&gt;"",M374&lt;&gt;""),"Completed","Scheduled"))</f>
        <v/>
      </c>
    </row>
    <row r="375">
      <c r="A375" s="15" t="n"/>
      <c r="B375" s="16" t="n"/>
      <c r="C375" s="16" t="n"/>
      <c r="D375" s="17" t="n"/>
      <c r="E375" s="17" t="n"/>
      <c r="F375" s="16" t="n"/>
      <c r="G375" s="16" t="n"/>
      <c r="H375" s="16" t="n"/>
      <c r="I375" s="16" t="n"/>
      <c r="J375" s="16" t="n"/>
      <c r="K375" s="16" t="n"/>
      <c r="L375" s="18">
        <f>IF(AND(D375="",E375=""),"",IFERROR(IF(F375&lt;&gt;"",F375,0)+IF(H375&lt;&gt;"",H375,0)+IF(J375&lt;&gt;"",J375,0),""))</f>
        <v/>
      </c>
      <c r="M375" s="18">
        <f>IF(AND(D375="",E375=""),"",IFERROR(IF(G375&lt;&gt;"",G375,0)+IF(I375&lt;&gt;"",I375,0)+IF(K375&lt;&gt;"",K375,0),""))</f>
        <v/>
      </c>
      <c r="N375" s="18">
        <f>IF(OR(L375="",M375=""),"",IF(L375&gt;M375,D375,IF(M375&gt;L375,E375,"Draw")))</f>
        <v/>
      </c>
      <c r="O375" s="18">
        <f>IF(AND(D375="",E375=""),"",IF(AND(L375&lt;&gt;"",M375&lt;&gt;""),"Completed","Scheduled"))</f>
        <v/>
      </c>
    </row>
    <row r="376">
      <c r="A376" s="15" t="n"/>
      <c r="B376" s="16" t="n"/>
      <c r="C376" s="16" t="n"/>
      <c r="D376" s="17" t="n"/>
      <c r="E376" s="17" t="n"/>
      <c r="F376" s="16" t="n"/>
      <c r="G376" s="16" t="n"/>
      <c r="H376" s="16" t="n"/>
      <c r="I376" s="16" t="n"/>
      <c r="J376" s="16" t="n"/>
      <c r="K376" s="16" t="n"/>
      <c r="L376" s="18">
        <f>IF(AND(D376="",E376=""),"",IFERROR(IF(F376&lt;&gt;"",F376,0)+IF(H376&lt;&gt;"",H376,0)+IF(J376&lt;&gt;"",J376,0),""))</f>
        <v/>
      </c>
      <c r="M376" s="18">
        <f>IF(AND(D376="",E376=""),"",IFERROR(IF(G376&lt;&gt;"",G376,0)+IF(I376&lt;&gt;"",I376,0)+IF(K376&lt;&gt;"",K376,0),""))</f>
        <v/>
      </c>
      <c r="N376" s="18">
        <f>IF(OR(L376="",M376=""),"",IF(L376&gt;M376,D376,IF(M376&gt;L376,E376,"Draw")))</f>
        <v/>
      </c>
      <c r="O376" s="18">
        <f>IF(AND(D376="",E376=""),"",IF(AND(L376&lt;&gt;"",M376&lt;&gt;""),"Completed","Scheduled"))</f>
        <v/>
      </c>
    </row>
    <row r="377">
      <c r="A377" s="15" t="n"/>
      <c r="B377" s="16" t="n"/>
      <c r="C377" s="16" t="n"/>
      <c r="D377" s="17" t="n"/>
      <c r="E377" s="17" t="n"/>
      <c r="F377" s="16" t="n"/>
      <c r="G377" s="16" t="n"/>
      <c r="H377" s="16" t="n"/>
      <c r="I377" s="16" t="n"/>
      <c r="J377" s="16" t="n"/>
      <c r="K377" s="16" t="n"/>
      <c r="L377" s="18">
        <f>IF(AND(D377="",E377=""),"",IFERROR(IF(F377&lt;&gt;"",F377,0)+IF(H377&lt;&gt;"",H377,0)+IF(J377&lt;&gt;"",J377,0),""))</f>
        <v/>
      </c>
      <c r="M377" s="18">
        <f>IF(AND(D377="",E377=""),"",IFERROR(IF(G377&lt;&gt;"",G377,0)+IF(I377&lt;&gt;"",I377,0)+IF(K377&lt;&gt;"",K377,0),""))</f>
        <v/>
      </c>
      <c r="N377" s="18">
        <f>IF(OR(L377="",M377=""),"",IF(L377&gt;M377,D377,IF(M377&gt;L377,E377,"Draw")))</f>
        <v/>
      </c>
      <c r="O377" s="18">
        <f>IF(AND(D377="",E377=""),"",IF(AND(L377&lt;&gt;"",M377&lt;&gt;""),"Completed","Scheduled"))</f>
        <v/>
      </c>
    </row>
    <row r="378">
      <c r="A378" s="15" t="n"/>
      <c r="B378" s="16" t="n"/>
      <c r="C378" s="16" t="n"/>
      <c r="D378" s="17" t="n"/>
      <c r="E378" s="17" t="n"/>
      <c r="F378" s="16" t="n"/>
      <c r="G378" s="16" t="n"/>
      <c r="H378" s="16" t="n"/>
      <c r="I378" s="16" t="n"/>
      <c r="J378" s="16" t="n"/>
      <c r="K378" s="16" t="n"/>
      <c r="L378" s="18">
        <f>IF(AND(D378="",E378=""),"",IFERROR(IF(F378&lt;&gt;"",F378,0)+IF(H378&lt;&gt;"",H378,0)+IF(J378&lt;&gt;"",J378,0),""))</f>
        <v/>
      </c>
      <c r="M378" s="18">
        <f>IF(AND(D378="",E378=""),"",IFERROR(IF(G378&lt;&gt;"",G378,0)+IF(I378&lt;&gt;"",I378,0)+IF(K378&lt;&gt;"",K378,0),""))</f>
        <v/>
      </c>
      <c r="N378" s="18">
        <f>IF(OR(L378="",M378=""),"",IF(L378&gt;M378,D378,IF(M378&gt;L378,E378,"Draw")))</f>
        <v/>
      </c>
      <c r="O378" s="18">
        <f>IF(AND(D378="",E378=""),"",IF(AND(L378&lt;&gt;"",M378&lt;&gt;""),"Completed","Scheduled"))</f>
        <v/>
      </c>
    </row>
    <row r="379">
      <c r="A379" s="15" t="n"/>
      <c r="B379" s="16" t="n"/>
      <c r="C379" s="16" t="n"/>
      <c r="D379" s="17" t="n"/>
      <c r="E379" s="17" t="n"/>
      <c r="F379" s="16" t="n"/>
      <c r="G379" s="16" t="n"/>
      <c r="H379" s="16" t="n"/>
      <c r="I379" s="16" t="n"/>
      <c r="J379" s="16" t="n"/>
      <c r="K379" s="16" t="n"/>
      <c r="L379" s="18">
        <f>IF(AND(D379="",E379=""),"",IFERROR(IF(F379&lt;&gt;"",F379,0)+IF(H379&lt;&gt;"",H379,0)+IF(J379&lt;&gt;"",J379,0),""))</f>
        <v/>
      </c>
      <c r="M379" s="18">
        <f>IF(AND(D379="",E379=""),"",IFERROR(IF(G379&lt;&gt;"",G379,0)+IF(I379&lt;&gt;"",I379,0)+IF(K379&lt;&gt;"",K379,0),""))</f>
        <v/>
      </c>
      <c r="N379" s="18">
        <f>IF(OR(L379="",M379=""),"",IF(L379&gt;M379,D379,IF(M379&gt;L379,E379,"Draw")))</f>
        <v/>
      </c>
      <c r="O379" s="18">
        <f>IF(AND(D379="",E379=""),"",IF(AND(L379&lt;&gt;"",M379&lt;&gt;""),"Completed","Scheduled"))</f>
        <v/>
      </c>
    </row>
    <row r="380">
      <c r="A380" s="15" t="n"/>
      <c r="B380" s="16" t="n"/>
      <c r="C380" s="16" t="n"/>
      <c r="D380" s="17" t="n"/>
      <c r="E380" s="17" t="n"/>
      <c r="F380" s="16" t="n"/>
      <c r="G380" s="16" t="n"/>
      <c r="H380" s="16" t="n"/>
      <c r="I380" s="16" t="n"/>
      <c r="J380" s="16" t="n"/>
      <c r="K380" s="16" t="n"/>
      <c r="L380" s="18">
        <f>IF(AND(D380="",E380=""),"",IFERROR(IF(F380&lt;&gt;"",F380,0)+IF(H380&lt;&gt;"",H380,0)+IF(J380&lt;&gt;"",J380,0),""))</f>
        <v/>
      </c>
      <c r="M380" s="18">
        <f>IF(AND(D380="",E380=""),"",IFERROR(IF(G380&lt;&gt;"",G380,0)+IF(I380&lt;&gt;"",I380,0)+IF(K380&lt;&gt;"",K380,0),""))</f>
        <v/>
      </c>
      <c r="N380" s="18">
        <f>IF(OR(L380="",M380=""),"",IF(L380&gt;M380,D380,IF(M380&gt;L380,E380,"Draw")))</f>
        <v/>
      </c>
      <c r="O380" s="18">
        <f>IF(AND(D380="",E380=""),"",IF(AND(L380&lt;&gt;"",M380&lt;&gt;""),"Completed","Scheduled"))</f>
        <v/>
      </c>
    </row>
    <row r="381">
      <c r="A381" s="15" t="n"/>
      <c r="B381" s="16" t="n"/>
      <c r="C381" s="16" t="n"/>
      <c r="D381" s="17" t="n"/>
      <c r="E381" s="17" t="n"/>
      <c r="F381" s="16" t="n"/>
      <c r="G381" s="16" t="n"/>
      <c r="H381" s="16" t="n"/>
      <c r="I381" s="16" t="n"/>
      <c r="J381" s="16" t="n"/>
      <c r="K381" s="16" t="n"/>
      <c r="L381" s="18">
        <f>IF(AND(D381="",E381=""),"",IFERROR(IF(F381&lt;&gt;"",F381,0)+IF(H381&lt;&gt;"",H381,0)+IF(J381&lt;&gt;"",J381,0),""))</f>
        <v/>
      </c>
      <c r="M381" s="18">
        <f>IF(AND(D381="",E381=""),"",IFERROR(IF(G381&lt;&gt;"",G381,0)+IF(I381&lt;&gt;"",I381,0)+IF(K381&lt;&gt;"",K381,0),""))</f>
        <v/>
      </c>
      <c r="N381" s="18">
        <f>IF(OR(L381="",M381=""),"",IF(L381&gt;M381,D381,IF(M381&gt;L381,E381,"Draw")))</f>
        <v/>
      </c>
      <c r="O381" s="18">
        <f>IF(AND(D381="",E381=""),"",IF(AND(L381&lt;&gt;"",M381&lt;&gt;""),"Completed","Scheduled"))</f>
        <v/>
      </c>
    </row>
    <row r="382">
      <c r="A382" s="15" t="n"/>
      <c r="B382" s="16" t="n"/>
      <c r="C382" s="16" t="n"/>
      <c r="D382" s="17" t="n"/>
      <c r="E382" s="17" t="n"/>
      <c r="F382" s="16" t="n"/>
      <c r="G382" s="16" t="n"/>
      <c r="H382" s="16" t="n"/>
      <c r="I382" s="16" t="n"/>
      <c r="J382" s="16" t="n"/>
      <c r="K382" s="16" t="n"/>
      <c r="L382" s="18">
        <f>IF(AND(D382="",E382=""),"",IFERROR(IF(F382&lt;&gt;"",F382,0)+IF(H382&lt;&gt;"",H382,0)+IF(J382&lt;&gt;"",J382,0),""))</f>
        <v/>
      </c>
      <c r="M382" s="18">
        <f>IF(AND(D382="",E382=""),"",IFERROR(IF(G382&lt;&gt;"",G382,0)+IF(I382&lt;&gt;"",I382,0)+IF(K382&lt;&gt;"",K382,0),""))</f>
        <v/>
      </c>
      <c r="N382" s="18">
        <f>IF(OR(L382="",M382=""),"",IF(L382&gt;M382,D382,IF(M382&gt;L382,E382,"Draw")))</f>
        <v/>
      </c>
      <c r="O382" s="18">
        <f>IF(AND(D382="",E382=""),"",IF(AND(L382&lt;&gt;"",M382&lt;&gt;""),"Completed","Scheduled"))</f>
        <v/>
      </c>
    </row>
    <row r="383">
      <c r="A383" s="15" t="n"/>
      <c r="B383" s="16" t="n"/>
      <c r="C383" s="16" t="n"/>
      <c r="D383" s="17" t="n"/>
      <c r="E383" s="17" t="n"/>
      <c r="F383" s="16" t="n"/>
      <c r="G383" s="16" t="n"/>
      <c r="H383" s="16" t="n"/>
      <c r="I383" s="16" t="n"/>
      <c r="J383" s="16" t="n"/>
      <c r="K383" s="16" t="n"/>
      <c r="L383" s="18">
        <f>IF(AND(D383="",E383=""),"",IFERROR(IF(F383&lt;&gt;"",F383,0)+IF(H383&lt;&gt;"",H383,0)+IF(J383&lt;&gt;"",J383,0),""))</f>
        <v/>
      </c>
      <c r="M383" s="18">
        <f>IF(AND(D383="",E383=""),"",IFERROR(IF(G383&lt;&gt;"",G383,0)+IF(I383&lt;&gt;"",I383,0)+IF(K383&lt;&gt;"",K383,0),""))</f>
        <v/>
      </c>
      <c r="N383" s="18">
        <f>IF(OR(L383="",M383=""),"",IF(L383&gt;M383,D383,IF(M383&gt;L383,E383,"Draw")))</f>
        <v/>
      </c>
      <c r="O383" s="18">
        <f>IF(AND(D383="",E383=""),"",IF(AND(L383&lt;&gt;"",M383&lt;&gt;""),"Completed","Scheduled"))</f>
        <v/>
      </c>
    </row>
    <row r="384">
      <c r="A384" s="15" t="n"/>
      <c r="B384" s="16" t="n"/>
      <c r="C384" s="16" t="n"/>
      <c r="D384" s="17" t="n"/>
      <c r="E384" s="17" t="n"/>
      <c r="F384" s="16" t="n"/>
      <c r="G384" s="16" t="n"/>
      <c r="H384" s="16" t="n"/>
      <c r="I384" s="16" t="n"/>
      <c r="J384" s="16" t="n"/>
      <c r="K384" s="16" t="n"/>
      <c r="L384" s="18">
        <f>IF(AND(D384="",E384=""),"",IFERROR(IF(F384&lt;&gt;"",F384,0)+IF(H384&lt;&gt;"",H384,0)+IF(J384&lt;&gt;"",J384,0),""))</f>
        <v/>
      </c>
      <c r="M384" s="18">
        <f>IF(AND(D384="",E384=""),"",IFERROR(IF(G384&lt;&gt;"",G384,0)+IF(I384&lt;&gt;"",I384,0)+IF(K384&lt;&gt;"",K384,0),""))</f>
        <v/>
      </c>
      <c r="N384" s="18">
        <f>IF(OR(L384="",M384=""),"",IF(L384&gt;M384,D384,IF(M384&gt;L384,E384,"Draw")))</f>
        <v/>
      </c>
      <c r="O384" s="18">
        <f>IF(AND(D384="",E384=""),"",IF(AND(L384&lt;&gt;"",M384&lt;&gt;""),"Completed","Scheduled"))</f>
        <v/>
      </c>
    </row>
    <row r="385">
      <c r="A385" s="15" t="n"/>
      <c r="B385" s="16" t="n"/>
      <c r="C385" s="16" t="n"/>
      <c r="D385" s="17" t="n"/>
      <c r="E385" s="17" t="n"/>
      <c r="F385" s="16" t="n"/>
      <c r="G385" s="16" t="n"/>
      <c r="H385" s="16" t="n"/>
      <c r="I385" s="16" t="n"/>
      <c r="J385" s="16" t="n"/>
      <c r="K385" s="16" t="n"/>
      <c r="L385" s="18">
        <f>IF(AND(D385="",E385=""),"",IFERROR(IF(F385&lt;&gt;"",F385,0)+IF(H385&lt;&gt;"",H385,0)+IF(J385&lt;&gt;"",J385,0),""))</f>
        <v/>
      </c>
      <c r="M385" s="18">
        <f>IF(AND(D385="",E385=""),"",IFERROR(IF(G385&lt;&gt;"",G385,0)+IF(I385&lt;&gt;"",I385,0)+IF(K385&lt;&gt;"",K385,0),""))</f>
        <v/>
      </c>
      <c r="N385" s="18">
        <f>IF(OR(L385="",M385=""),"",IF(L385&gt;M385,D385,IF(M385&gt;L385,E385,"Draw")))</f>
        <v/>
      </c>
      <c r="O385" s="18">
        <f>IF(AND(D385="",E385=""),"",IF(AND(L385&lt;&gt;"",M385&lt;&gt;""),"Completed","Scheduled"))</f>
        <v/>
      </c>
    </row>
    <row r="386">
      <c r="A386" s="15" t="n"/>
      <c r="B386" s="16" t="n"/>
      <c r="C386" s="16" t="n"/>
      <c r="D386" s="17" t="n"/>
      <c r="E386" s="17" t="n"/>
      <c r="F386" s="16" t="n"/>
      <c r="G386" s="16" t="n"/>
      <c r="H386" s="16" t="n"/>
      <c r="I386" s="16" t="n"/>
      <c r="J386" s="16" t="n"/>
      <c r="K386" s="16" t="n"/>
      <c r="L386" s="18">
        <f>IF(AND(D386="",E386=""),"",IFERROR(IF(F386&lt;&gt;"",F386,0)+IF(H386&lt;&gt;"",H386,0)+IF(J386&lt;&gt;"",J386,0),""))</f>
        <v/>
      </c>
      <c r="M386" s="18">
        <f>IF(AND(D386="",E386=""),"",IFERROR(IF(G386&lt;&gt;"",G386,0)+IF(I386&lt;&gt;"",I386,0)+IF(K386&lt;&gt;"",K386,0),""))</f>
        <v/>
      </c>
      <c r="N386" s="18">
        <f>IF(OR(L386="",M386=""),"",IF(L386&gt;M386,D386,IF(M386&gt;L386,E386,"Draw")))</f>
        <v/>
      </c>
      <c r="O386" s="18">
        <f>IF(AND(D386="",E386=""),"",IF(AND(L386&lt;&gt;"",M386&lt;&gt;""),"Completed","Scheduled"))</f>
        <v/>
      </c>
    </row>
    <row r="387">
      <c r="A387" s="15" t="n"/>
      <c r="B387" s="16" t="n"/>
      <c r="C387" s="16" t="n"/>
      <c r="D387" s="17" t="n"/>
      <c r="E387" s="17" t="n"/>
      <c r="F387" s="16" t="n"/>
      <c r="G387" s="16" t="n"/>
      <c r="H387" s="16" t="n"/>
      <c r="I387" s="16" t="n"/>
      <c r="J387" s="16" t="n"/>
      <c r="K387" s="16" t="n"/>
      <c r="L387" s="18">
        <f>IF(AND(D387="",E387=""),"",IFERROR(IF(F387&lt;&gt;"",F387,0)+IF(H387&lt;&gt;"",H387,0)+IF(J387&lt;&gt;"",J387,0),""))</f>
        <v/>
      </c>
      <c r="M387" s="18">
        <f>IF(AND(D387="",E387=""),"",IFERROR(IF(G387&lt;&gt;"",G387,0)+IF(I387&lt;&gt;"",I387,0)+IF(K387&lt;&gt;"",K387,0),""))</f>
        <v/>
      </c>
      <c r="N387" s="18">
        <f>IF(OR(L387="",M387=""),"",IF(L387&gt;M387,D387,IF(M387&gt;L387,E387,"Draw")))</f>
        <v/>
      </c>
      <c r="O387" s="18">
        <f>IF(AND(D387="",E387=""),"",IF(AND(L387&lt;&gt;"",M387&lt;&gt;""),"Completed","Scheduled"))</f>
        <v/>
      </c>
    </row>
    <row r="388">
      <c r="A388" s="15" t="n"/>
      <c r="B388" s="16" t="n"/>
      <c r="C388" s="16" t="n"/>
      <c r="D388" s="17" t="n"/>
      <c r="E388" s="17" t="n"/>
      <c r="F388" s="16" t="n"/>
      <c r="G388" s="16" t="n"/>
      <c r="H388" s="16" t="n"/>
      <c r="I388" s="16" t="n"/>
      <c r="J388" s="16" t="n"/>
      <c r="K388" s="16" t="n"/>
      <c r="L388" s="18">
        <f>IF(AND(D388="",E388=""),"",IFERROR(IF(F388&lt;&gt;"",F388,0)+IF(H388&lt;&gt;"",H388,0)+IF(J388&lt;&gt;"",J388,0),""))</f>
        <v/>
      </c>
      <c r="M388" s="18">
        <f>IF(AND(D388="",E388=""),"",IFERROR(IF(G388&lt;&gt;"",G388,0)+IF(I388&lt;&gt;"",I388,0)+IF(K388&lt;&gt;"",K388,0),""))</f>
        <v/>
      </c>
      <c r="N388" s="18">
        <f>IF(OR(L388="",M388=""),"",IF(L388&gt;M388,D388,IF(M388&gt;L388,E388,"Draw")))</f>
        <v/>
      </c>
      <c r="O388" s="18">
        <f>IF(AND(D388="",E388=""),"",IF(AND(L388&lt;&gt;"",M388&lt;&gt;""),"Completed","Scheduled"))</f>
        <v/>
      </c>
    </row>
    <row r="389">
      <c r="A389" s="15" t="n"/>
      <c r="B389" s="16" t="n"/>
      <c r="C389" s="16" t="n"/>
      <c r="D389" s="17" t="n"/>
      <c r="E389" s="17" t="n"/>
      <c r="F389" s="16" t="n"/>
      <c r="G389" s="16" t="n"/>
      <c r="H389" s="16" t="n"/>
      <c r="I389" s="16" t="n"/>
      <c r="J389" s="16" t="n"/>
      <c r="K389" s="16" t="n"/>
      <c r="L389" s="18">
        <f>IF(AND(D389="",E389=""),"",IFERROR(IF(F389&lt;&gt;"",F389,0)+IF(H389&lt;&gt;"",H389,0)+IF(J389&lt;&gt;"",J389,0),""))</f>
        <v/>
      </c>
      <c r="M389" s="18">
        <f>IF(AND(D389="",E389=""),"",IFERROR(IF(G389&lt;&gt;"",G389,0)+IF(I389&lt;&gt;"",I389,0)+IF(K389&lt;&gt;"",K389,0),""))</f>
        <v/>
      </c>
      <c r="N389" s="18">
        <f>IF(OR(L389="",M389=""),"",IF(L389&gt;M389,D389,IF(M389&gt;L389,E389,"Draw")))</f>
        <v/>
      </c>
      <c r="O389" s="18">
        <f>IF(AND(D389="",E389=""),"",IF(AND(L389&lt;&gt;"",M389&lt;&gt;""),"Completed","Scheduled"))</f>
        <v/>
      </c>
    </row>
    <row r="390">
      <c r="A390" s="15" t="n"/>
      <c r="B390" s="16" t="n"/>
      <c r="C390" s="16" t="n"/>
      <c r="D390" s="17" t="n"/>
      <c r="E390" s="17" t="n"/>
      <c r="F390" s="16" t="n"/>
      <c r="G390" s="16" t="n"/>
      <c r="H390" s="16" t="n"/>
      <c r="I390" s="16" t="n"/>
      <c r="J390" s="16" t="n"/>
      <c r="K390" s="16" t="n"/>
      <c r="L390" s="18">
        <f>IF(AND(D390="",E390=""),"",IFERROR(IF(F390&lt;&gt;"",F390,0)+IF(H390&lt;&gt;"",H390,0)+IF(J390&lt;&gt;"",J390,0),""))</f>
        <v/>
      </c>
      <c r="M390" s="18">
        <f>IF(AND(D390="",E390=""),"",IFERROR(IF(G390&lt;&gt;"",G390,0)+IF(I390&lt;&gt;"",I390,0)+IF(K390&lt;&gt;"",K390,0),""))</f>
        <v/>
      </c>
      <c r="N390" s="18">
        <f>IF(OR(L390="",M390=""),"",IF(L390&gt;M390,D390,IF(M390&gt;L390,E390,"Draw")))</f>
        <v/>
      </c>
      <c r="O390" s="18">
        <f>IF(AND(D390="",E390=""),"",IF(AND(L390&lt;&gt;"",M390&lt;&gt;""),"Completed","Scheduled"))</f>
        <v/>
      </c>
    </row>
    <row r="391">
      <c r="A391" s="15" t="n"/>
      <c r="B391" s="16" t="n"/>
      <c r="C391" s="16" t="n"/>
      <c r="D391" s="17" t="n"/>
      <c r="E391" s="17" t="n"/>
      <c r="F391" s="16" t="n"/>
      <c r="G391" s="16" t="n"/>
      <c r="H391" s="16" t="n"/>
      <c r="I391" s="16" t="n"/>
      <c r="J391" s="16" t="n"/>
      <c r="K391" s="16" t="n"/>
      <c r="L391" s="18">
        <f>IF(AND(D391="",E391=""),"",IFERROR(IF(F391&lt;&gt;"",F391,0)+IF(H391&lt;&gt;"",H391,0)+IF(J391&lt;&gt;"",J391,0),""))</f>
        <v/>
      </c>
      <c r="M391" s="18">
        <f>IF(AND(D391="",E391=""),"",IFERROR(IF(G391&lt;&gt;"",G391,0)+IF(I391&lt;&gt;"",I391,0)+IF(K391&lt;&gt;"",K391,0),""))</f>
        <v/>
      </c>
      <c r="N391" s="18">
        <f>IF(OR(L391="",M391=""),"",IF(L391&gt;M391,D391,IF(M391&gt;L391,E391,"Draw")))</f>
        <v/>
      </c>
      <c r="O391" s="18">
        <f>IF(AND(D391="",E391=""),"",IF(AND(L391&lt;&gt;"",M391&lt;&gt;""),"Completed","Scheduled"))</f>
        <v/>
      </c>
    </row>
    <row r="392">
      <c r="A392" s="15" t="n"/>
      <c r="B392" s="16" t="n"/>
      <c r="C392" s="16" t="n"/>
      <c r="D392" s="17" t="n"/>
      <c r="E392" s="17" t="n"/>
      <c r="F392" s="16" t="n"/>
      <c r="G392" s="16" t="n"/>
      <c r="H392" s="16" t="n"/>
      <c r="I392" s="16" t="n"/>
      <c r="J392" s="16" t="n"/>
      <c r="K392" s="16" t="n"/>
      <c r="L392" s="18">
        <f>IF(AND(D392="",E392=""),"",IFERROR(IF(F392&lt;&gt;"",F392,0)+IF(H392&lt;&gt;"",H392,0)+IF(J392&lt;&gt;"",J392,0),""))</f>
        <v/>
      </c>
      <c r="M392" s="18">
        <f>IF(AND(D392="",E392=""),"",IFERROR(IF(G392&lt;&gt;"",G392,0)+IF(I392&lt;&gt;"",I392,0)+IF(K392&lt;&gt;"",K392,0),""))</f>
        <v/>
      </c>
      <c r="N392" s="18">
        <f>IF(OR(L392="",M392=""),"",IF(L392&gt;M392,D392,IF(M392&gt;L392,E392,"Draw")))</f>
        <v/>
      </c>
      <c r="O392" s="18">
        <f>IF(AND(D392="",E392=""),"",IF(AND(L392&lt;&gt;"",M392&lt;&gt;""),"Completed","Scheduled"))</f>
        <v/>
      </c>
    </row>
    <row r="393">
      <c r="A393" s="15" t="n"/>
      <c r="B393" s="16" t="n"/>
      <c r="C393" s="16" t="n"/>
      <c r="D393" s="17" t="n"/>
      <c r="E393" s="17" t="n"/>
      <c r="F393" s="16" t="n"/>
      <c r="G393" s="16" t="n"/>
      <c r="H393" s="16" t="n"/>
      <c r="I393" s="16" t="n"/>
      <c r="J393" s="16" t="n"/>
      <c r="K393" s="16" t="n"/>
      <c r="L393" s="18">
        <f>IF(AND(D393="",E393=""),"",IFERROR(IF(F393&lt;&gt;"",F393,0)+IF(H393&lt;&gt;"",H393,0)+IF(J393&lt;&gt;"",J393,0),""))</f>
        <v/>
      </c>
      <c r="M393" s="18">
        <f>IF(AND(D393="",E393=""),"",IFERROR(IF(G393&lt;&gt;"",G393,0)+IF(I393&lt;&gt;"",I393,0)+IF(K393&lt;&gt;"",K393,0),""))</f>
        <v/>
      </c>
      <c r="N393" s="18">
        <f>IF(OR(L393="",M393=""),"",IF(L393&gt;M393,D393,IF(M393&gt;L393,E393,"Draw")))</f>
        <v/>
      </c>
      <c r="O393" s="18">
        <f>IF(AND(D393="",E393=""),"",IF(AND(L393&lt;&gt;"",M393&lt;&gt;""),"Completed","Scheduled"))</f>
        <v/>
      </c>
    </row>
    <row r="394">
      <c r="A394" s="15" t="n"/>
      <c r="B394" s="16" t="n"/>
      <c r="C394" s="16" t="n"/>
      <c r="D394" s="17" t="n"/>
      <c r="E394" s="17" t="n"/>
      <c r="F394" s="16" t="n"/>
      <c r="G394" s="16" t="n"/>
      <c r="H394" s="16" t="n"/>
      <c r="I394" s="16" t="n"/>
      <c r="J394" s="16" t="n"/>
      <c r="K394" s="16" t="n"/>
      <c r="L394" s="18">
        <f>IF(AND(D394="",E394=""),"",IFERROR(IF(F394&lt;&gt;"",F394,0)+IF(H394&lt;&gt;"",H394,0)+IF(J394&lt;&gt;"",J394,0),""))</f>
        <v/>
      </c>
      <c r="M394" s="18">
        <f>IF(AND(D394="",E394=""),"",IFERROR(IF(G394&lt;&gt;"",G394,0)+IF(I394&lt;&gt;"",I394,0)+IF(K394&lt;&gt;"",K394,0),""))</f>
        <v/>
      </c>
      <c r="N394" s="18">
        <f>IF(OR(L394="",M394=""),"",IF(L394&gt;M394,D394,IF(M394&gt;L394,E394,"Draw")))</f>
        <v/>
      </c>
      <c r="O394" s="18">
        <f>IF(AND(D394="",E394=""),"",IF(AND(L394&lt;&gt;"",M394&lt;&gt;""),"Completed","Scheduled"))</f>
        <v/>
      </c>
    </row>
    <row r="395">
      <c r="A395" s="15" t="n"/>
      <c r="B395" s="16" t="n"/>
      <c r="C395" s="16" t="n"/>
      <c r="D395" s="17" t="n"/>
      <c r="E395" s="17" t="n"/>
      <c r="F395" s="16" t="n"/>
      <c r="G395" s="16" t="n"/>
      <c r="H395" s="16" t="n"/>
      <c r="I395" s="16" t="n"/>
      <c r="J395" s="16" t="n"/>
      <c r="K395" s="16" t="n"/>
      <c r="L395" s="18">
        <f>IF(AND(D395="",E395=""),"",IFERROR(IF(F395&lt;&gt;"",F395,0)+IF(H395&lt;&gt;"",H395,0)+IF(J395&lt;&gt;"",J395,0),""))</f>
        <v/>
      </c>
      <c r="M395" s="18">
        <f>IF(AND(D395="",E395=""),"",IFERROR(IF(G395&lt;&gt;"",G395,0)+IF(I395&lt;&gt;"",I395,0)+IF(K395&lt;&gt;"",K395,0),""))</f>
        <v/>
      </c>
      <c r="N395" s="18">
        <f>IF(OR(L395="",M395=""),"",IF(L395&gt;M395,D395,IF(M395&gt;L395,E395,"Draw")))</f>
        <v/>
      </c>
      <c r="O395" s="18">
        <f>IF(AND(D395="",E395=""),"",IF(AND(L395&lt;&gt;"",M395&lt;&gt;""),"Completed","Scheduled"))</f>
        <v/>
      </c>
    </row>
    <row r="396">
      <c r="A396" s="15" t="n"/>
      <c r="B396" s="16" t="n"/>
      <c r="C396" s="16" t="n"/>
      <c r="D396" s="17" t="n"/>
      <c r="E396" s="17" t="n"/>
      <c r="F396" s="16" t="n"/>
      <c r="G396" s="16" t="n"/>
      <c r="H396" s="16" t="n"/>
      <c r="I396" s="16" t="n"/>
      <c r="J396" s="16" t="n"/>
      <c r="K396" s="16" t="n"/>
      <c r="L396" s="18">
        <f>IF(AND(D396="",E396=""),"",IFERROR(IF(F396&lt;&gt;"",F396,0)+IF(H396&lt;&gt;"",H396,0)+IF(J396&lt;&gt;"",J396,0),""))</f>
        <v/>
      </c>
      <c r="M396" s="18">
        <f>IF(AND(D396="",E396=""),"",IFERROR(IF(G396&lt;&gt;"",G396,0)+IF(I396&lt;&gt;"",I396,0)+IF(K396&lt;&gt;"",K396,0),""))</f>
        <v/>
      </c>
      <c r="N396" s="18">
        <f>IF(OR(L396="",M396=""),"",IF(L396&gt;M396,D396,IF(M396&gt;L396,E396,"Draw")))</f>
        <v/>
      </c>
      <c r="O396" s="18">
        <f>IF(AND(D396="",E396=""),"",IF(AND(L396&lt;&gt;"",M396&lt;&gt;""),"Completed","Scheduled"))</f>
        <v/>
      </c>
    </row>
    <row r="397">
      <c r="A397" s="15" t="n"/>
      <c r="B397" s="16" t="n"/>
      <c r="C397" s="16" t="n"/>
      <c r="D397" s="17" t="n"/>
      <c r="E397" s="17" t="n"/>
      <c r="F397" s="16" t="n"/>
      <c r="G397" s="16" t="n"/>
      <c r="H397" s="16" t="n"/>
      <c r="I397" s="16" t="n"/>
      <c r="J397" s="16" t="n"/>
      <c r="K397" s="16" t="n"/>
      <c r="L397" s="18">
        <f>IF(AND(D397="",E397=""),"",IFERROR(IF(F397&lt;&gt;"",F397,0)+IF(H397&lt;&gt;"",H397,0)+IF(J397&lt;&gt;"",J397,0),""))</f>
        <v/>
      </c>
      <c r="M397" s="18">
        <f>IF(AND(D397="",E397=""),"",IFERROR(IF(G397&lt;&gt;"",G397,0)+IF(I397&lt;&gt;"",I397,0)+IF(K397&lt;&gt;"",K397,0),""))</f>
        <v/>
      </c>
      <c r="N397" s="18">
        <f>IF(OR(L397="",M397=""),"",IF(L397&gt;M397,D397,IF(M397&gt;L397,E397,"Draw")))</f>
        <v/>
      </c>
      <c r="O397" s="18">
        <f>IF(AND(D397="",E397=""),"",IF(AND(L397&lt;&gt;"",M397&lt;&gt;""),"Completed","Scheduled"))</f>
        <v/>
      </c>
    </row>
    <row r="398">
      <c r="A398" s="15" t="n"/>
      <c r="B398" s="16" t="n"/>
      <c r="C398" s="16" t="n"/>
      <c r="D398" s="17" t="n"/>
      <c r="E398" s="17" t="n"/>
      <c r="F398" s="16" t="n"/>
      <c r="G398" s="16" t="n"/>
      <c r="H398" s="16" t="n"/>
      <c r="I398" s="16" t="n"/>
      <c r="J398" s="16" t="n"/>
      <c r="K398" s="16" t="n"/>
      <c r="L398" s="18">
        <f>IF(AND(D398="",E398=""),"",IFERROR(IF(F398&lt;&gt;"",F398,0)+IF(H398&lt;&gt;"",H398,0)+IF(J398&lt;&gt;"",J398,0),""))</f>
        <v/>
      </c>
      <c r="M398" s="18">
        <f>IF(AND(D398="",E398=""),"",IFERROR(IF(G398&lt;&gt;"",G398,0)+IF(I398&lt;&gt;"",I398,0)+IF(K398&lt;&gt;"",K398,0),""))</f>
        <v/>
      </c>
      <c r="N398" s="18">
        <f>IF(OR(L398="",M398=""),"",IF(L398&gt;M398,D398,IF(M398&gt;L398,E398,"Draw")))</f>
        <v/>
      </c>
      <c r="O398" s="18">
        <f>IF(AND(D398="",E398=""),"",IF(AND(L398&lt;&gt;"",M398&lt;&gt;""),"Completed","Scheduled"))</f>
        <v/>
      </c>
    </row>
    <row r="399">
      <c r="A399" s="15" t="n"/>
      <c r="B399" s="16" t="n"/>
      <c r="C399" s="16" t="n"/>
      <c r="D399" s="17" t="n"/>
      <c r="E399" s="17" t="n"/>
      <c r="F399" s="16" t="n"/>
      <c r="G399" s="16" t="n"/>
      <c r="H399" s="16" t="n"/>
      <c r="I399" s="16" t="n"/>
      <c r="J399" s="16" t="n"/>
      <c r="K399" s="16" t="n"/>
      <c r="L399" s="18">
        <f>IF(AND(D399="",E399=""),"",IFERROR(IF(F399&lt;&gt;"",F399,0)+IF(H399&lt;&gt;"",H399,0)+IF(J399&lt;&gt;"",J399,0),""))</f>
        <v/>
      </c>
      <c r="M399" s="18">
        <f>IF(AND(D399="",E399=""),"",IFERROR(IF(G399&lt;&gt;"",G399,0)+IF(I399&lt;&gt;"",I399,0)+IF(K399&lt;&gt;"",K399,0),""))</f>
        <v/>
      </c>
      <c r="N399" s="18">
        <f>IF(OR(L399="",M399=""),"",IF(L399&gt;M399,D399,IF(M399&gt;L399,E399,"Draw")))</f>
        <v/>
      </c>
      <c r="O399" s="18">
        <f>IF(AND(D399="",E399=""),"",IF(AND(L399&lt;&gt;"",M399&lt;&gt;""),"Completed","Scheduled"))</f>
        <v/>
      </c>
    </row>
    <row r="400">
      <c r="A400" s="15" t="n"/>
      <c r="B400" s="16" t="n"/>
      <c r="C400" s="16" t="n"/>
      <c r="D400" s="17" t="n"/>
      <c r="E400" s="17" t="n"/>
      <c r="F400" s="16" t="n"/>
      <c r="G400" s="16" t="n"/>
      <c r="H400" s="16" t="n"/>
      <c r="I400" s="16" t="n"/>
      <c r="J400" s="16" t="n"/>
      <c r="K400" s="16" t="n"/>
      <c r="L400" s="18">
        <f>IF(AND(D400="",E400=""),"",IFERROR(IF(F400&lt;&gt;"",F400,0)+IF(H400&lt;&gt;"",H400,0)+IF(J400&lt;&gt;"",J400,0),""))</f>
        <v/>
      </c>
      <c r="M400" s="18">
        <f>IF(AND(D400="",E400=""),"",IFERROR(IF(G400&lt;&gt;"",G400,0)+IF(I400&lt;&gt;"",I400,0)+IF(K400&lt;&gt;"",K400,0),""))</f>
        <v/>
      </c>
      <c r="N400" s="18">
        <f>IF(OR(L400="",M400=""),"",IF(L400&gt;M400,D400,IF(M400&gt;L400,E400,"Draw")))</f>
        <v/>
      </c>
      <c r="O400" s="18">
        <f>IF(AND(D400="",E400=""),"",IF(AND(L400&lt;&gt;"",M400&lt;&gt;""),"Completed","Scheduled"))</f>
        <v/>
      </c>
    </row>
    <row r="401">
      <c r="A401" s="15" t="n"/>
      <c r="B401" s="16" t="n"/>
      <c r="C401" s="16" t="n"/>
      <c r="D401" s="17" t="n"/>
      <c r="E401" s="17" t="n"/>
      <c r="F401" s="16" t="n"/>
      <c r="G401" s="16" t="n"/>
      <c r="H401" s="16" t="n"/>
      <c r="I401" s="16" t="n"/>
      <c r="J401" s="16" t="n"/>
      <c r="K401" s="16" t="n"/>
      <c r="L401" s="18">
        <f>IF(AND(D401="",E401=""),"",IFERROR(IF(F401&lt;&gt;"",F401,0)+IF(H401&lt;&gt;"",H401,0)+IF(J401&lt;&gt;"",J401,0),""))</f>
        <v/>
      </c>
      <c r="M401" s="18">
        <f>IF(AND(D401="",E401=""),"",IFERROR(IF(G401&lt;&gt;"",G401,0)+IF(I401&lt;&gt;"",I401,0)+IF(K401&lt;&gt;"",K401,0),""))</f>
        <v/>
      </c>
      <c r="N401" s="18">
        <f>IF(OR(L401="",M401=""),"",IF(L401&gt;M401,D401,IF(M401&gt;L401,E401,"Draw")))</f>
        <v/>
      </c>
      <c r="O401" s="18">
        <f>IF(AND(D401="",E401=""),"",IF(AND(L401&lt;&gt;"",M401&lt;&gt;""),"Completed","Scheduled"))</f>
        <v/>
      </c>
    </row>
    <row r="402">
      <c r="A402" s="15" t="n"/>
      <c r="B402" s="16" t="n"/>
      <c r="C402" s="16" t="n"/>
      <c r="D402" s="17" t="n"/>
      <c r="E402" s="17" t="n"/>
      <c r="F402" s="16" t="n"/>
      <c r="G402" s="16" t="n"/>
      <c r="H402" s="16" t="n"/>
      <c r="I402" s="16" t="n"/>
      <c r="J402" s="16" t="n"/>
      <c r="K402" s="16" t="n"/>
      <c r="L402" s="18">
        <f>IF(AND(D402="",E402=""),"",IFERROR(IF(F402&lt;&gt;"",F402,0)+IF(H402&lt;&gt;"",H402,0)+IF(J402&lt;&gt;"",J402,0),""))</f>
        <v/>
      </c>
      <c r="M402" s="18">
        <f>IF(AND(D402="",E402=""),"",IFERROR(IF(G402&lt;&gt;"",G402,0)+IF(I402&lt;&gt;"",I402,0)+IF(K402&lt;&gt;"",K402,0),""))</f>
        <v/>
      </c>
      <c r="N402" s="18">
        <f>IF(OR(L402="",M402=""),"",IF(L402&gt;M402,D402,IF(M402&gt;L402,E402,"Draw")))</f>
        <v/>
      </c>
      <c r="O402" s="18">
        <f>IF(AND(D402="",E402=""),"",IF(AND(L402&lt;&gt;"",M402&lt;&gt;""),"Completed","Scheduled"))</f>
        <v/>
      </c>
    </row>
    <row r="403">
      <c r="A403" s="15" t="n"/>
      <c r="B403" s="16" t="n"/>
      <c r="C403" s="16" t="n"/>
      <c r="D403" s="17" t="n"/>
      <c r="E403" s="17" t="n"/>
      <c r="F403" s="16" t="n"/>
      <c r="G403" s="16" t="n"/>
      <c r="H403" s="16" t="n"/>
      <c r="I403" s="16" t="n"/>
      <c r="J403" s="16" t="n"/>
      <c r="K403" s="16" t="n"/>
      <c r="L403" s="18">
        <f>IF(AND(D403="",E403=""),"",IFERROR(IF(F403&lt;&gt;"",F403,0)+IF(H403&lt;&gt;"",H403,0)+IF(J403&lt;&gt;"",J403,0),""))</f>
        <v/>
      </c>
      <c r="M403" s="18">
        <f>IF(AND(D403="",E403=""),"",IFERROR(IF(G403&lt;&gt;"",G403,0)+IF(I403&lt;&gt;"",I403,0)+IF(K403&lt;&gt;"",K403,0),""))</f>
        <v/>
      </c>
      <c r="N403" s="18">
        <f>IF(OR(L403="",M403=""),"",IF(L403&gt;M403,D403,IF(M403&gt;L403,E403,"Draw")))</f>
        <v/>
      </c>
      <c r="O403" s="18">
        <f>IF(AND(D403="",E403=""),"",IF(AND(L403&lt;&gt;"",M403&lt;&gt;""),"Completed","Scheduled"))</f>
        <v/>
      </c>
    </row>
    <row r="404">
      <c r="A404" s="15" t="n"/>
      <c r="B404" s="16" t="n"/>
      <c r="C404" s="16" t="n"/>
      <c r="D404" s="17" t="n"/>
      <c r="E404" s="17" t="n"/>
      <c r="F404" s="16" t="n"/>
      <c r="G404" s="16" t="n"/>
      <c r="H404" s="16" t="n"/>
      <c r="I404" s="16" t="n"/>
      <c r="J404" s="16" t="n"/>
      <c r="K404" s="16" t="n"/>
      <c r="L404" s="18">
        <f>IF(AND(D404="",E404=""),"",IFERROR(IF(F404&lt;&gt;"",F404,0)+IF(H404&lt;&gt;"",H404,0)+IF(J404&lt;&gt;"",J404,0),""))</f>
        <v/>
      </c>
      <c r="M404" s="18">
        <f>IF(AND(D404="",E404=""),"",IFERROR(IF(G404&lt;&gt;"",G404,0)+IF(I404&lt;&gt;"",I404,0)+IF(K404&lt;&gt;"",K404,0),""))</f>
        <v/>
      </c>
      <c r="N404" s="18">
        <f>IF(OR(L404="",M404=""),"",IF(L404&gt;M404,D404,IF(M404&gt;L404,E404,"Draw")))</f>
        <v/>
      </c>
      <c r="O404" s="18">
        <f>IF(AND(D404="",E404=""),"",IF(AND(L404&lt;&gt;"",M404&lt;&gt;""),"Completed","Scheduled"))</f>
        <v/>
      </c>
    </row>
    <row r="405">
      <c r="A405" s="15" t="n"/>
      <c r="B405" s="16" t="n"/>
      <c r="C405" s="16" t="n"/>
      <c r="D405" s="17" t="n"/>
      <c r="E405" s="17" t="n"/>
      <c r="F405" s="16" t="n"/>
      <c r="G405" s="16" t="n"/>
      <c r="H405" s="16" t="n"/>
      <c r="I405" s="16" t="n"/>
      <c r="J405" s="16" t="n"/>
      <c r="K405" s="16" t="n"/>
      <c r="L405" s="18">
        <f>IF(AND(D405="",E405=""),"",IFERROR(IF(F405&lt;&gt;"",F405,0)+IF(H405&lt;&gt;"",H405,0)+IF(J405&lt;&gt;"",J405,0),""))</f>
        <v/>
      </c>
      <c r="M405" s="18">
        <f>IF(AND(D405="",E405=""),"",IFERROR(IF(G405&lt;&gt;"",G405,0)+IF(I405&lt;&gt;"",I405,0)+IF(K405&lt;&gt;"",K405,0),""))</f>
        <v/>
      </c>
      <c r="N405" s="18">
        <f>IF(OR(L405="",M405=""),"",IF(L405&gt;M405,D405,IF(M405&gt;L405,E405,"Draw")))</f>
        <v/>
      </c>
      <c r="O405" s="18">
        <f>IF(AND(D405="",E405=""),"",IF(AND(L405&lt;&gt;"",M405&lt;&gt;""),"Completed","Scheduled"))</f>
        <v/>
      </c>
    </row>
    <row r="406">
      <c r="A406" s="15" t="n"/>
      <c r="B406" s="16" t="n"/>
      <c r="C406" s="16" t="n"/>
      <c r="D406" s="17" t="n"/>
      <c r="E406" s="17" t="n"/>
      <c r="F406" s="16" t="n"/>
      <c r="G406" s="16" t="n"/>
      <c r="H406" s="16" t="n"/>
      <c r="I406" s="16" t="n"/>
      <c r="J406" s="16" t="n"/>
      <c r="K406" s="16" t="n"/>
      <c r="L406" s="18">
        <f>IF(AND(D406="",E406=""),"",IFERROR(IF(F406&lt;&gt;"",F406,0)+IF(H406&lt;&gt;"",H406,0)+IF(J406&lt;&gt;"",J406,0),""))</f>
        <v/>
      </c>
      <c r="M406" s="18">
        <f>IF(AND(D406="",E406=""),"",IFERROR(IF(G406&lt;&gt;"",G406,0)+IF(I406&lt;&gt;"",I406,0)+IF(K406&lt;&gt;"",K406,0),""))</f>
        <v/>
      </c>
      <c r="N406" s="18">
        <f>IF(OR(L406="",M406=""),"",IF(L406&gt;M406,D406,IF(M406&gt;L406,E406,"Draw")))</f>
        <v/>
      </c>
      <c r="O406" s="18">
        <f>IF(AND(D406="",E406=""),"",IF(AND(L406&lt;&gt;"",M406&lt;&gt;""),"Completed","Scheduled"))</f>
        <v/>
      </c>
    </row>
    <row r="407">
      <c r="A407" s="15" t="n"/>
      <c r="B407" s="16" t="n"/>
      <c r="C407" s="16" t="n"/>
      <c r="D407" s="17" t="n"/>
      <c r="E407" s="17" t="n"/>
      <c r="F407" s="16" t="n"/>
      <c r="G407" s="16" t="n"/>
      <c r="H407" s="16" t="n"/>
      <c r="I407" s="16" t="n"/>
      <c r="J407" s="16" t="n"/>
      <c r="K407" s="16" t="n"/>
      <c r="L407" s="18">
        <f>IF(AND(D407="",E407=""),"",IFERROR(IF(F407&lt;&gt;"",F407,0)+IF(H407&lt;&gt;"",H407,0)+IF(J407&lt;&gt;"",J407,0),""))</f>
        <v/>
      </c>
      <c r="M407" s="18">
        <f>IF(AND(D407="",E407=""),"",IFERROR(IF(G407&lt;&gt;"",G407,0)+IF(I407&lt;&gt;"",I407,0)+IF(K407&lt;&gt;"",K407,0),""))</f>
        <v/>
      </c>
      <c r="N407" s="18">
        <f>IF(OR(L407="",M407=""),"",IF(L407&gt;M407,D407,IF(M407&gt;L407,E407,"Draw")))</f>
        <v/>
      </c>
      <c r="O407" s="18">
        <f>IF(AND(D407="",E407=""),"",IF(AND(L407&lt;&gt;"",M407&lt;&gt;""),"Completed","Scheduled"))</f>
        <v/>
      </c>
    </row>
    <row r="408">
      <c r="A408" s="15" t="n"/>
      <c r="B408" s="16" t="n"/>
      <c r="C408" s="16" t="n"/>
      <c r="D408" s="17" t="n"/>
      <c r="E408" s="17" t="n"/>
      <c r="F408" s="16" t="n"/>
      <c r="G408" s="16" t="n"/>
      <c r="H408" s="16" t="n"/>
      <c r="I408" s="16" t="n"/>
      <c r="J408" s="16" t="n"/>
      <c r="K408" s="16" t="n"/>
      <c r="L408" s="18">
        <f>IF(AND(D408="",E408=""),"",IFERROR(IF(F408&lt;&gt;"",F408,0)+IF(H408&lt;&gt;"",H408,0)+IF(J408&lt;&gt;"",J408,0),""))</f>
        <v/>
      </c>
      <c r="M408" s="18">
        <f>IF(AND(D408="",E408=""),"",IFERROR(IF(G408&lt;&gt;"",G408,0)+IF(I408&lt;&gt;"",I408,0)+IF(K408&lt;&gt;"",K408,0),""))</f>
        <v/>
      </c>
      <c r="N408" s="18">
        <f>IF(OR(L408="",M408=""),"",IF(L408&gt;M408,D408,IF(M408&gt;L408,E408,"Draw")))</f>
        <v/>
      </c>
      <c r="O408" s="18">
        <f>IF(AND(D408="",E408=""),"",IF(AND(L408&lt;&gt;"",M408&lt;&gt;""),"Completed","Scheduled"))</f>
        <v/>
      </c>
    </row>
    <row r="409">
      <c r="A409" s="15" t="n"/>
      <c r="B409" s="16" t="n"/>
      <c r="C409" s="16" t="n"/>
      <c r="D409" s="17" t="n"/>
      <c r="E409" s="17" t="n"/>
      <c r="F409" s="16" t="n"/>
      <c r="G409" s="16" t="n"/>
      <c r="H409" s="16" t="n"/>
      <c r="I409" s="16" t="n"/>
      <c r="J409" s="16" t="n"/>
      <c r="K409" s="16" t="n"/>
      <c r="L409" s="18">
        <f>IF(AND(D409="",E409=""),"",IFERROR(IF(F409&lt;&gt;"",F409,0)+IF(H409&lt;&gt;"",H409,0)+IF(J409&lt;&gt;"",J409,0),""))</f>
        <v/>
      </c>
      <c r="M409" s="18">
        <f>IF(AND(D409="",E409=""),"",IFERROR(IF(G409&lt;&gt;"",G409,0)+IF(I409&lt;&gt;"",I409,0)+IF(K409&lt;&gt;"",K409,0),""))</f>
        <v/>
      </c>
      <c r="N409" s="18">
        <f>IF(OR(L409="",M409=""),"",IF(L409&gt;M409,D409,IF(M409&gt;L409,E409,"Draw")))</f>
        <v/>
      </c>
      <c r="O409" s="18">
        <f>IF(AND(D409="",E409=""),"",IF(AND(L409&lt;&gt;"",M409&lt;&gt;""),"Completed","Scheduled"))</f>
        <v/>
      </c>
    </row>
    <row r="410">
      <c r="A410" s="15" t="n"/>
      <c r="B410" s="16" t="n"/>
      <c r="C410" s="16" t="n"/>
      <c r="D410" s="17" t="n"/>
      <c r="E410" s="17" t="n"/>
      <c r="F410" s="16" t="n"/>
      <c r="G410" s="16" t="n"/>
      <c r="H410" s="16" t="n"/>
      <c r="I410" s="16" t="n"/>
      <c r="J410" s="16" t="n"/>
      <c r="K410" s="16" t="n"/>
      <c r="L410" s="18">
        <f>IF(AND(D410="",E410=""),"",IFERROR(IF(F410&lt;&gt;"",F410,0)+IF(H410&lt;&gt;"",H410,0)+IF(J410&lt;&gt;"",J410,0),""))</f>
        <v/>
      </c>
      <c r="M410" s="18">
        <f>IF(AND(D410="",E410=""),"",IFERROR(IF(G410&lt;&gt;"",G410,0)+IF(I410&lt;&gt;"",I410,0)+IF(K410&lt;&gt;"",K410,0),""))</f>
        <v/>
      </c>
      <c r="N410" s="18">
        <f>IF(OR(L410="",M410=""),"",IF(L410&gt;M410,D410,IF(M410&gt;L410,E410,"Draw")))</f>
        <v/>
      </c>
      <c r="O410" s="18">
        <f>IF(AND(D410="",E410=""),"",IF(AND(L410&lt;&gt;"",M410&lt;&gt;""),"Completed","Scheduled"))</f>
        <v/>
      </c>
    </row>
    <row r="411">
      <c r="A411" s="15" t="n"/>
      <c r="B411" s="16" t="n"/>
      <c r="C411" s="16" t="n"/>
      <c r="D411" s="17" t="n"/>
      <c r="E411" s="17" t="n"/>
      <c r="F411" s="16" t="n"/>
      <c r="G411" s="16" t="n"/>
      <c r="H411" s="16" t="n"/>
      <c r="I411" s="16" t="n"/>
      <c r="J411" s="16" t="n"/>
      <c r="K411" s="16" t="n"/>
      <c r="L411" s="18">
        <f>IF(AND(D411="",E411=""),"",IFERROR(IF(F411&lt;&gt;"",F411,0)+IF(H411&lt;&gt;"",H411,0)+IF(J411&lt;&gt;"",J411,0),""))</f>
        <v/>
      </c>
      <c r="M411" s="18">
        <f>IF(AND(D411="",E411=""),"",IFERROR(IF(G411&lt;&gt;"",G411,0)+IF(I411&lt;&gt;"",I411,0)+IF(K411&lt;&gt;"",K411,0),""))</f>
        <v/>
      </c>
      <c r="N411" s="18">
        <f>IF(OR(L411="",M411=""),"",IF(L411&gt;M411,D411,IF(M411&gt;L411,E411,"Draw")))</f>
        <v/>
      </c>
      <c r="O411" s="18">
        <f>IF(AND(D411="",E411=""),"",IF(AND(L411&lt;&gt;"",M411&lt;&gt;""),"Completed","Scheduled"))</f>
        <v/>
      </c>
    </row>
    <row r="412">
      <c r="A412" s="15" t="n"/>
      <c r="B412" s="16" t="n"/>
      <c r="C412" s="16" t="n"/>
      <c r="D412" s="17" t="n"/>
      <c r="E412" s="17" t="n"/>
      <c r="F412" s="16" t="n"/>
      <c r="G412" s="16" t="n"/>
      <c r="H412" s="16" t="n"/>
      <c r="I412" s="16" t="n"/>
      <c r="J412" s="16" t="n"/>
      <c r="K412" s="16" t="n"/>
      <c r="L412" s="18">
        <f>IF(AND(D412="",E412=""),"",IFERROR(IF(F412&lt;&gt;"",F412,0)+IF(H412&lt;&gt;"",H412,0)+IF(J412&lt;&gt;"",J412,0),""))</f>
        <v/>
      </c>
      <c r="M412" s="18">
        <f>IF(AND(D412="",E412=""),"",IFERROR(IF(G412&lt;&gt;"",G412,0)+IF(I412&lt;&gt;"",I412,0)+IF(K412&lt;&gt;"",K412,0),""))</f>
        <v/>
      </c>
      <c r="N412" s="18">
        <f>IF(OR(L412="",M412=""),"",IF(L412&gt;M412,D412,IF(M412&gt;L412,E412,"Draw")))</f>
        <v/>
      </c>
      <c r="O412" s="18">
        <f>IF(AND(D412="",E412=""),"",IF(AND(L412&lt;&gt;"",M412&lt;&gt;""),"Completed","Scheduled"))</f>
        <v/>
      </c>
    </row>
    <row r="413">
      <c r="A413" s="15" t="n"/>
      <c r="B413" s="16" t="n"/>
      <c r="C413" s="16" t="n"/>
      <c r="D413" s="17" t="n"/>
      <c r="E413" s="17" t="n"/>
      <c r="F413" s="16" t="n"/>
      <c r="G413" s="16" t="n"/>
      <c r="H413" s="16" t="n"/>
      <c r="I413" s="16" t="n"/>
      <c r="J413" s="16" t="n"/>
      <c r="K413" s="16" t="n"/>
      <c r="L413" s="18">
        <f>IF(AND(D413="",E413=""),"",IFERROR(IF(F413&lt;&gt;"",F413,0)+IF(H413&lt;&gt;"",H413,0)+IF(J413&lt;&gt;"",J413,0),""))</f>
        <v/>
      </c>
      <c r="M413" s="18">
        <f>IF(AND(D413="",E413=""),"",IFERROR(IF(G413&lt;&gt;"",G413,0)+IF(I413&lt;&gt;"",I413,0)+IF(K413&lt;&gt;"",K413,0),""))</f>
        <v/>
      </c>
      <c r="N413" s="18">
        <f>IF(OR(L413="",M413=""),"",IF(L413&gt;M413,D413,IF(M413&gt;L413,E413,"Draw")))</f>
        <v/>
      </c>
      <c r="O413" s="18">
        <f>IF(AND(D413="",E413=""),"",IF(AND(L413&lt;&gt;"",M413&lt;&gt;""),"Completed","Scheduled"))</f>
        <v/>
      </c>
    </row>
    <row r="414">
      <c r="A414" s="15" t="n"/>
      <c r="B414" s="16" t="n"/>
      <c r="C414" s="16" t="n"/>
      <c r="D414" s="17" t="n"/>
      <c r="E414" s="17" t="n"/>
      <c r="F414" s="16" t="n"/>
      <c r="G414" s="16" t="n"/>
      <c r="H414" s="16" t="n"/>
      <c r="I414" s="16" t="n"/>
      <c r="J414" s="16" t="n"/>
      <c r="K414" s="16" t="n"/>
      <c r="L414" s="18">
        <f>IF(AND(D414="",E414=""),"",IFERROR(IF(F414&lt;&gt;"",F414,0)+IF(H414&lt;&gt;"",H414,0)+IF(J414&lt;&gt;"",J414,0),""))</f>
        <v/>
      </c>
      <c r="M414" s="18">
        <f>IF(AND(D414="",E414=""),"",IFERROR(IF(G414&lt;&gt;"",G414,0)+IF(I414&lt;&gt;"",I414,0)+IF(K414&lt;&gt;"",K414,0),""))</f>
        <v/>
      </c>
      <c r="N414" s="18">
        <f>IF(OR(L414="",M414=""),"",IF(L414&gt;M414,D414,IF(M414&gt;L414,E414,"Draw")))</f>
        <v/>
      </c>
      <c r="O414" s="18">
        <f>IF(AND(D414="",E414=""),"",IF(AND(L414&lt;&gt;"",M414&lt;&gt;""),"Completed","Scheduled"))</f>
        <v/>
      </c>
    </row>
    <row r="415">
      <c r="A415" s="15" t="n"/>
      <c r="B415" s="16" t="n"/>
      <c r="C415" s="16" t="n"/>
      <c r="D415" s="17" t="n"/>
      <c r="E415" s="17" t="n"/>
      <c r="F415" s="16" t="n"/>
      <c r="G415" s="16" t="n"/>
      <c r="H415" s="16" t="n"/>
      <c r="I415" s="16" t="n"/>
      <c r="J415" s="16" t="n"/>
      <c r="K415" s="16" t="n"/>
      <c r="L415" s="18">
        <f>IF(AND(D415="",E415=""),"",IFERROR(IF(F415&lt;&gt;"",F415,0)+IF(H415&lt;&gt;"",H415,0)+IF(J415&lt;&gt;"",J415,0),""))</f>
        <v/>
      </c>
      <c r="M415" s="18">
        <f>IF(AND(D415="",E415=""),"",IFERROR(IF(G415&lt;&gt;"",G415,0)+IF(I415&lt;&gt;"",I415,0)+IF(K415&lt;&gt;"",K415,0),""))</f>
        <v/>
      </c>
      <c r="N415" s="18">
        <f>IF(OR(L415="",M415=""),"",IF(L415&gt;M415,D415,IF(M415&gt;L415,E415,"Draw")))</f>
        <v/>
      </c>
      <c r="O415" s="18">
        <f>IF(AND(D415="",E415=""),"",IF(AND(L415&lt;&gt;"",M415&lt;&gt;""),"Completed","Scheduled"))</f>
        <v/>
      </c>
    </row>
    <row r="416">
      <c r="A416" s="15" t="n"/>
      <c r="B416" s="16" t="n"/>
      <c r="C416" s="16" t="n"/>
      <c r="D416" s="17" t="n"/>
      <c r="E416" s="17" t="n"/>
      <c r="F416" s="16" t="n"/>
      <c r="G416" s="16" t="n"/>
      <c r="H416" s="16" t="n"/>
      <c r="I416" s="16" t="n"/>
      <c r="J416" s="16" t="n"/>
      <c r="K416" s="16" t="n"/>
      <c r="L416" s="18">
        <f>IF(AND(D416="",E416=""),"",IFERROR(IF(F416&lt;&gt;"",F416,0)+IF(H416&lt;&gt;"",H416,0)+IF(J416&lt;&gt;"",J416,0),""))</f>
        <v/>
      </c>
      <c r="M416" s="18">
        <f>IF(AND(D416="",E416=""),"",IFERROR(IF(G416&lt;&gt;"",G416,0)+IF(I416&lt;&gt;"",I416,0)+IF(K416&lt;&gt;"",K416,0),""))</f>
        <v/>
      </c>
      <c r="N416" s="18">
        <f>IF(OR(L416="",M416=""),"",IF(L416&gt;M416,D416,IF(M416&gt;L416,E416,"Draw")))</f>
        <v/>
      </c>
      <c r="O416" s="18">
        <f>IF(AND(D416="",E416=""),"",IF(AND(L416&lt;&gt;"",M416&lt;&gt;""),"Completed","Scheduled"))</f>
        <v/>
      </c>
    </row>
    <row r="417">
      <c r="A417" s="15" t="n"/>
      <c r="B417" s="16" t="n"/>
      <c r="C417" s="16" t="n"/>
      <c r="D417" s="17" t="n"/>
      <c r="E417" s="17" t="n"/>
      <c r="F417" s="16" t="n"/>
      <c r="G417" s="16" t="n"/>
      <c r="H417" s="16" t="n"/>
      <c r="I417" s="16" t="n"/>
      <c r="J417" s="16" t="n"/>
      <c r="K417" s="16" t="n"/>
      <c r="L417" s="18">
        <f>IF(AND(D417="",E417=""),"",IFERROR(IF(F417&lt;&gt;"",F417,0)+IF(H417&lt;&gt;"",H417,0)+IF(J417&lt;&gt;"",J417,0),""))</f>
        <v/>
      </c>
      <c r="M417" s="18">
        <f>IF(AND(D417="",E417=""),"",IFERROR(IF(G417&lt;&gt;"",G417,0)+IF(I417&lt;&gt;"",I417,0)+IF(K417&lt;&gt;"",K417,0),""))</f>
        <v/>
      </c>
      <c r="N417" s="18">
        <f>IF(OR(L417="",M417=""),"",IF(L417&gt;M417,D417,IF(M417&gt;L417,E417,"Draw")))</f>
        <v/>
      </c>
      <c r="O417" s="18">
        <f>IF(AND(D417="",E417=""),"",IF(AND(L417&lt;&gt;"",M417&lt;&gt;""),"Completed","Scheduled"))</f>
        <v/>
      </c>
    </row>
    <row r="418">
      <c r="A418" s="15" t="n"/>
      <c r="B418" s="16" t="n"/>
      <c r="C418" s="16" t="n"/>
      <c r="D418" s="17" t="n"/>
      <c r="E418" s="17" t="n"/>
      <c r="F418" s="16" t="n"/>
      <c r="G418" s="16" t="n"/>
      <c r="H418" s="16" t="n"/>
      <c r="I418" s="16" t="n"/>
      <c r="J418" s="16" t="n"/>
      <c r="K418" s="16" t="n"/>
      <c r="L418" s="18">
        <f>IF(AND(D418="",E418=""),"",IFERROR(IF(F418&lt;&gt;"",F418,0)+IF(H418&lt;&gt;"",H418,0)+IF(J418&lt;&gt;"",J418,0),""))</f>
        <v/>
      </c>
      <c r="M418" s="18">
        <f>IF(AND(D418="",E418=""),"",IFERROR(IF(G418&lt;&gt;"",G418,0)+IF(I418&lt;&gt;"",I418,0)+IF(K418&lt;&gt;"",K418,0),""))</f>
        <v/>
      </c>
      <c r="N418" s="18">
        <f>IF(OR(L418="",M418=""),"",IF(L418&gt;M418,D418,IF(M418&gt;L418,E418,"Draw")))</f>
        <v/>
      </c>
      <c r="O418" s="18">
        <f>IF(AND(D418="",E418=""),"",IF(AND(L418&lt;&gt;"",M418&lt;&gt;""),"Completed","Scheduled"))</f>
        <v/>
      </c>
    </row>
    <row r="419">
      <c r="A419" s="15" t="n"/>
      <c r="B419" s="16" t="n"/>
      <c r="C419" s="16" t="n"/>
      <c r="D419" s="17" t="n"/>
      <c r="E419" s="17" t="n"/>
      <c r="F419" s="16" t="n"/>
      <c r="G419" s="16" t="n"/>
      <c r="H419" s="16" t="n"/>
      <c r="I419" s="16" t="n"/>
      <c r="J419" s="16" t="n"/>
      <c r="K419" s="16" t="n"/>
      <c r="L419" s="18">
        <f>IF(AND(D419="",E419=""),"",IFERROR(IF(F419&lt;&gt;"",F419,0)+IF(H419&lt;&gt;"",H419,0)+IF(J419&lt;&gt;"",J419,0),""))</f>
        <v/>
      </c>
      <c r="M419" s="18">
        <f>IF(AND(D419="",E419=""),"",IFERROR(IF(G419&lt;&gt;"",G419,0)+IF(I419&lt;&gt;"",I419,0)+IF(K419&lt;&gt;"",K419,0),""))</f>
        <v/>
      </c>
      <c r="N419" s="18">
        <f>IF(OR(L419="",M419=""),"",IF(L419&gt;M419,D419,IF(M419&gt;L419,E419,"Draw")))</f>
        <v/>
      </c>
      <c r="O419" s="18">
        <f>IF(AND(D419="",E419=""),"",IF(AND(L419&lt;&gt;"",M419&lt;&gt;""),"Completed","Scheduled"))</f>
        <v/>
      </c>
    </row>
    <row r="420">
      <c r="A420" s="15" t="n"/>
      <c r="B420" s="16" t="n"/>
      <c r="C420" s="16" t="n"/>
      <c r="D420" s="17" t="n"/>
      <c r="E420" s="17" t="n"/>
      <c r="F420" s="16" t="n"/>
      <c r="G420" s="16" t="n"/>
      <c r="H420" s="16" t="n"/>
      <c r="I420" s="16" t="n"/>
      <c r="J420" s="16" t="n"/>
      <c r="K420" s="16" t="n"/>
      <c r="L420" s="18">
        <f>IF(AND(D420="",E420=""),"",IFERROR(IF(F420&lt;&gt;"",F420,0)+IF(H420&lt;&gt;"",H420,0)+IF(J420&lt;&gt;"",J420,0),""))</f>
        <v/>
      </c>
      <c r="M420" s="18">
        <f>IF(AND(D420="",E420=""),"",IFERROR(IF(G420&lt;&gt;"",G420,0)+IF(I420&lt;&gt;"",I420,0)+IF(K420&lt;&gt;"",K420,0),""))</f>
        <v/>
      </c>
      <c r="N420" s="18">
        <f>IF(OR(L420="",M420=""),"",IF(L420&gt;M420,D420,IF(M420&gt;L420,E420,"Draw")))</f>
        <v/>
      </c>
      <c r="O420" s="18">
        <f>IF(AND(D420="",E420=""),"",IF(AND(L420&lt;&gt;"",M420&lt;&gt;""),"Completed","Scheduled"))</f>
        <v/>
      </c>
    </row>
    <row r="421">
      <c r="A421" s="15" t="n"/>
      <c r="B421" s="16" t="n"/>
      <c r="C421" s="16" t="n"/>
      <c r="D421" s="17" t="n"/>
      <c r="E421" s="17" t="n"/>
      <c r="F421" s="16" t="n"/>
      <c r="G421" s="16" t="n"/>
      <c r="H421" s="16" t="n"/>
      <c r="I421" s="16" t="n"/>
      <c r="J421" s="16" t="n"/>
      <c r="K421" s="16" t="n"/>
      <c r="L421" s="18">
        <f>IF(AND(D421="",E421=""),"",IFERROR(IF(F421&lt;&gt;"",F421,0)+IF(H421&lt;&gt;"",H421,0)+IF(J421&lt;&gt;"",J421,0),""))</f>
        <v/>
      </c>
      <c r="M421" s="18">
        <f>IF(AND(D421="",E421=""),"",IFERROR(IF(G421&lt;&gt;"",G421,0)+IF(I421&lt;&gt;"",I421,0)+IF(K421&lt;&gt;"",K421,0),""))</f>
        <v/>
      </c>
      <c r="N421" s="18">
        <f>IF(OR(L421="",M421=""),"",IF(L421&gt;M421,D421,IF(M421&gt;L421,E421,"Draw")))</f>
        <v/>
      </c>
      <c r="O421" s="18">
        <f>IF(AND(D421="",E421=""),"",IF(AND(L421&lt;&gt;"",M421&lt;&gt;""),"Completed","Scheduled"))</f>
        <v/>
      </c>
    </row>
    <row r="422">
      <c r="A422" s="15" t="n"/>
      <c r="B422" s="16" t="n"/>
      <c r="C422" s="16" t="n"/>
      <c r="D422" s="17" t="n"/>
      <c r="E422" s="17" t="n"/>
      <c r="F422" s="16" t="n"/>
      <c r="G422" s="16" t="n"/>
      <c r="H422" s="16" t="n"/>
      <c r="I422" s="16" t="n"/>
      <c r="J422" s="16" t="n"/>
      <c r="K422" s="16" t="n"/>
      <c r="L422" s="18">
        <f>IF(AND(D422="",E422=""),"",IFERROR(IF(F422&lt;&gt;"",F422,0)+IF(H422&lt;&gt;"",H422,0)+IF(J422&lt;&gt;"",J422,0),""))</f>
        <v/>
      </c>
      <c r="M422" s="18">
        <f>IF(AND(D422="",E422=""),"",IFERROR(IF(G422&lt;&gt;"",G422,0)+IF(I422&lt;&gt;"",I422,0)+IF(K422&lt;&gt;"",K422,0),""))</f>
        <v/>
      </c>
      <c r="N422" s="18">
        <f>IF(OR(L422="",M422=""),"",IF(L422&gt;M422,D422,IF(M422&gt;L422,E422,"Draw")))</f>
        <v/>
      </c>
      <c r="O422" s="18">
        <f>IF(AND(D422="",E422=""),"",IF(AND(L422&lt;&gt;"",M422&lt;&gt;""),"Completed","Scheduled"))</f>
        <v/>
      </c>
    </row>
    <row r="423">
      <c r="A423" s="15" t="n"/>
      <c r="B423" s="16" t="n"/>
      <c r="C423" s="16" t="n"/>
      <c r="D423" s="17" t="n"/>
      <c r="E423" s="17" t="n"/>
      <c r="F423" s="16" t="n"/>
      <c r="G423" s="16" t="n"/>
      <c r="H423" s="16" t="n"/>
      <c r="I423" s="16" t="n"/>
      <c r="J423" s="16" t="n"/>
      <c r="K423" s="16" t="n"/>
      <c r="L423" s="18">
        <f>IF(AND(D423="",E423=""),"",IFERROR(IF(F423&lt;&gt;"",F423,0)+IF(H423&lt;&gt;"",H423,0)+IF(J423&lt;&gt;"",J423,0),""))</f>
        <v/>
      </c>
      <c r="M423" s="18">
        <f>IF(AND(D423="",E423=""),"",IFERROR(IF(G423&lt;&gt;"",G423,0)+IF(I423&lt;&gt;"",I423,0)+IF(K423&lt;&gt;"",K423,0),""))</f>
        <v/>
      </c>
      <c r="N423" s="18">
        <f>IF(OR(L423="",M423=""),"",IF(L423&gt;M423,D423,IF(M423&gt;L423,E423,"Draw")))</f>
        <v/>
      </c>
      <c r="O423" s="18">
        <f>IF(AND(D423="",E423=""),"",IF(AND(L423&lt;&gt;"",M423&lt;&gt;""),"Completed","Scheduled"))</f>
        <v/>
      </c>
    </row>
    <row r="424">
      <c r="A424" s="15" t="n"/>
      <c r="B424" s="16" t="n"/>
      <c r="C424" s="16" t="n"/>
      <c r="D424" s="17" t="n"/>
      <c r="E424" s="17" t="n"/>
      <c r="F424" s="16" t="n"/>
      <c r="G424" s="16" t="n"/>
      <c r="H424" s="16" t="n"/>
      <c r="I424" s="16" t="n"/>
      <c r="J424" s="16" t="n"/>
      <c r="K424" s="16" t="n"/>
      <c r="L424" s="18">
        <f>IF(AND(D424="",E424=""),"",IFERROR(IF(F424&lt;&gt;"",F424,0)+IF(H424&lt;&gt;"",H424,0)+IF(J424&lt;&gt;"",J424,0),""))</f>
        <v/>
      </c>
      <c r="M424" s="18">
        <f>IF(AND(D424="",E424=""),"",IFERROR(IF(G424&lt;&gt;"",G424,0)+IF(I424&lt;&gt;"",I424,0)+IF(K424&lt;&gt;"",K424,0),""))</f>
        <v/>
      </c>
      <c r="N424" s="18">
        <f>IF(OR(L424="",M424=""),"",IF(L424&gt;M424,D424,IF(M424&gt;L424,E424,"Draw")))</f>
        <v/>
      </c>
      <c r="O424" s="18">
        <f>IF(AND(D424="",E424=""),"",IF(AND(L424&lt;&gt;"",M424&lt;&gt;""),"Completed","Scheduled"))</f>
        <v/>
      </c>
    </row>
    <row r="425">
      <c r="A425" s="15" t="n"/>
      <c r="B425" s="16" t="n"/>
      <c r="C425" s="16" t="n"/>
      <c r="D425" s="17" t="n"/>
      <c r="E425" s="17" t="n"/>
      <c r="F425" s="16" t="n"/>
      <c r="G425" s="16" t="n"/>
      <c r="H425" s="16" t="n"/>
      <c r="I425" s="16" t="n"/>
      <c r="J425" s="16" t="n"/>
      <c r="K425" s="16" t="n"/>
      <c r="L425" s="18">
        <f>IF(AND(D425="",E425=""),"",IFERROR(IF(F425&lt;&gt;"",F425,0)+IF(H425&lt;&gt;"",H425,0)+IF(J425&lt;&gt;"",J425,0),""))</f>
        <v/>
      </c>
      <c r="M425" s="18">
        <f>IF(AND(D425="",E425=""),"",IFERROR(IF(G425&lt;&gt;"",G425,0)+IF(I425&lt;&gt;"",I425,0)+IF(K425&lt;&gt;"",K425,0),""))</f>
        <v/>
      </c>
      <c r="N425" s="18">
        <f>IF(OR(L425="",M425=""),"",IF(L425&gt;M425,D425,IF(M425&gt;L425,E425,"Draw")))</f>
        <v/>
      </c>
      <c r="O425" s="18">
        <f>IF(AND(D425="",E425=""),"",IF(AND(L425&lt;&gt;"",M425&lt;&gt;""),"Completed","Scheduled"))</f>
        <v/>
      </c>
    </row>
    <row r="426">
      <c r="A426" s="15" t="n"/>
      <c r="B426" s="16" t="n"/>
      <c r="C426" s="16" t="n"/>
      <c r="D426" s="17" t="n"/>
      <c r="E426" s="17" t="n"/>
      <c r="F426" s="16" t="n"/>
      <c r="G426" s="16" t="n"/>
      <c r="H426" s="16" t="n"/>
      <c r="I426" s="16" t="n"/>
      <c r="J426" s="16" t="n"/>
      <c r="K426" s="16" t="n"/>
      <c r="L426" s="18">
        <f>IF(AND(D426="",E426=""),"",IFERROR(IF(F426&lt;&gt;"",F426,0)+IF(H426&lt;&gt;"",H426,0)+IF(J426&lt;&gt;"",J426,0),""))</f>
        <v/>
      </c>
      <c r="M426" s="18">
        <f>IF(AND(D426="",E426=""),"",IFERROR(IF(G426&lt;&gt;"",G426,0)+IF(I426&lt;&gt;"",I426,0)+IF(K426&lt;&gt;"",K426,0),""))</f>
        <v/>
      </c>
      <c r="N426" s="18">
        <f>IF(OR(L426="",M426=""),"",IF(L426&gt;M426,D426,IF(M426&gt;L426,E426,"Draw")))</f>
        <v/>
      </c>
      <c r="O426" s="18">
        <f>IF(AND(D426="",E426=""),"",IF(AND(L426&lt;&gt;"",M426&lt;&gt;""),"Completed","Scheduled"))</f>
        <v/>
      </c>
    </row>
    <row r="427">
      <c r="A427" s="15" t="n"/>
      <c r="B427" s="16" t="n"/>
      <c r="C427" s="16" t="n"/>
      <c r="D427" s="17" t="n"/>
      <c r="E427" s="17" t="n"/>
      <c r="F427" s="16" t="n"/>
      <c r="G427" s="16" t="n"/>
      <c r="H427" s="16" t="n"/>
      <c r="I427" s="16" t="n"/>
      <c r="J427" s="16" t="n"/>
      <c r="K427" s="16" t="n"/>
      <c r="L427" s="18">
        <f>IF(AND(D427="",E427=""),"",IFERROR(IF(F427&lt;&gt;"",F427,0)+IF(H427&lt;&gt;"",H427,0)+IF(J427&lt;&gt;"",J427,0),""))</f>
        <v/>
      </c>
      <c r="M427" s="18">
        <f>IF(AND(D427="",E427=""),"",IFERROR(IF(G427&lt;&gt;"",G427,0)+IF(I427&lt;&gt;"",I427,0)+IF(K427&lt;&gt;"",K427,0),""))</f>
        <v/>
      </c>
      <c r="N427" s="18">
        <f>IF(OR(L427="",M427=""),"",IF(L427&gt;M427,D427,IF(M427&gt;L427,E427,"Draw")))</f>
        <v/>
      </c>
      <c r="O427" s="18">
        <f>IF(AND(D427="",E427=""),"",IF(AND(L427&lt;&gt;"",M427&lt;&gt;""),"Completed","Scheduled"))</f>
        <v/>
      </c>
    </row>
    <row r="428">
      <c r="A428" s="15" t="n"/>
      <c r="B428" s="16" t="n"/>
      <c r="C428" s="16" t="n"/>
      <c r="D428" s="17" t="n"/>
      <c r="E428" s="17" t="n"/>
      <c r="F428" s="16" t="n"/>
      <c r="G428" s="16" t="n"/>
      <c r="H428" s="16" t="n"/>
      <c r="I428" s="16" t="n"/>
      <c r="J428" s="16" t="n"/>
      <c r="K428" s="16" t="n"/>
      <c r="L428" s="18">
        <f>IF(AND(D428="",E428=""),"",IFERROR(IF(F428&lt;&gt;"",F428,0)+IF(H428&lt;&gt;"",H428,0)+IF(J428&lt;&gt;"",J428,0),""))</f>
        <v/>
      </c>
      <c r="M428" s="18">
        <f>IF(AND(D428="",E428=""),"",IFERROR(IF(G428&lt;&gt;"",G428,0)+IF(I428&lt;&gt;"",I428,0)+IF(K428&lt;&gt;"",K428,0),""))</f>
        <v/>
      </c>
      <c r="N428" s="18">
        <f>IF(OR(L428="",M428=""),"",IF(L428&gt;M428,D428,IF(M428&gt;L428,E428,"Draw")))</f>
        <v/>
      </c>
      <c r="O428" s="18">
        <f>IF(AND(D428="",E428=""),"",IF(AND(L428&lt;&gt;"",M428&lt;&gt;""),"Completed","Scheduled"))</f>
        <v/>
      </c>
    </row>
    <row r="429">
      <c r="A429" s="15" t="n"/>
      <c r="B429" s="16" t="n"/>
      <c r="C429" s="16" t="n"/>
      <c r="D429" s="17" t="n"/>
      <c r="E429" s="17" t="n"/>
      <c r="F429" s="16" t="n"/>
      <c r="G429" s="16" t="n"/>
      <c r="H429" s="16" t="n"/>
      <c r="I429" s="16" t="n"/>
      <c r="J429" s="16" t="n"/>
      <c r="K429" s="16" t="n"/>
      <c r="L429" s="18">
        <f>IF(AND(D429="",E429=""),"",IFERROR(IF(F429&lt;&gt;"",F429,0)+IF(H429&lt;&gt;"",H429,0)+IF(J429&lt;&gt;"",J429,0),""))</f>
        <v/>
      </c>
      <c r="M429" s="18">
        <f>IF(AND(D429="",E429=""),"",IFERROR(IF(G429&lt;&gt;"",G429,0)+IF(I429&lt;&gt;"",I429,0)+IF(K429&lt;&gt;"",K429,0),""))</f>
        <v/>
      </c>
      <c r="N429" s="18">
        <f>IF(OR(L429="",M429=""),"",IF(L429&gt;M429,D429,IF(M429&gt;L429,E429,"Draw")))</f>
        <v/>
      </c>
      <c r="O429" s="18">
        <f>IF(AND(D429="",E429=""),"",IF(AND(L429&lt;&gt;"",M429&lt;&gt;""),"Completed","Scheduled"))</f>
        <v/>
      </c>
    </row>
    <row r="430">
      <c r="A430" s="15" t="n"/>
      <c r="B430" s="16" t="n"/>
      <c r="C430" s="16" t="n"/>
      <c r="D430" s="17" t="n"/>
      <c r="E430" s="17" t="n"/>
      <c r="F430" s="16" t="n"/>
      <c r="G430" s="16" t="n"/>
      <c r="H430" s="16" t="n"/>
      <c r="I430" s="16" t="n"/>
      <c r="J430" s="16" t="n"/>
      <c r="K430" s="16" t="n"/>
      <c r="L430" s="18">
        <f>IF(AND(D430="",E430=""),"",IFERROR(IF(F430&lt;&gt;"",F430,0)+IF(H430&lt;&gt;"",H430,0)+IF(J430&lt;&gt;"",J430,0),""))</f>
        <v/>
      </c>
      <c r="M430" s="18">
        <f>IF(AND(D430="",E430=""),"",IFERROR(IF(G430&lt;&gt;"",G430,0)+IF(I430&lt;&gt;"",I430,0)+IF(K430&lt;&gt;"",K430,0),""))</f>
        <v/>
      </c>
      <c r="N430" s="18">
        <f>IF(OR(L430="",M430=""),"",IF(L430&gt;M430,D430,IF(M430&gt;L430,E430,"Draw")))</f>
        <v/>
      </c>
      <c r="O430" s="18">
        <f>IF(AND(D430="",E430=""),"",IF(AND(L430&lt;&gt;"",M430&lt;&gt;""),"Completed","Scheduled"))</f>
        <v/>
      </c>
    </row>
    <row r="431">
      <c r="A431" s="15" t="n"/>
      <c r="B431" s="16" t="n"/>
      <c r="C431" s="16" t="n"/>
      <c r="D431" s="17" t="n"/>
      <c r="E431" s="17" t="n"/>
      <c r="F431" s="16" t="n"/>
      <c r="G431" s="16" t="n"/>
      <c r="H431" s="16" t="n"/>
      <c r="I431" s="16" t="n"/>
      <c r="J431" s="16" t="n"/>
      <c r="K431" s="16" t="n"/>
      <c r="L431" s="18">
        <f>IF(AND(D431="",E431=""),"",IFERROR(IF(F431&lt;&gt;"",F431,0)+IF(H431&lt;&gt;"",H431,0)+IF(J431&lt;&gt;"",J431,0),""))</f>
        <v/>
      </c>
      <c r="M431" s="18">
        <f>IF(AND(D431="",E431=""),"",IFERROR(IF(G431&lt;&gt;"",G431,0)+IF(I431&lt;&gt;"",I431,0)+IF(K431&lt;&gt;"",K431,0),""))</f>
        <v/>
      </c>
      <c r="N431" s="18">
        <f>IF(OR(L431="",M431=""),"",IF(L431&gt;M431,D431,IF(M431&gt;L431,E431,"Draw")))</f>
        <v/>
      </c>
      <c r="O431" s="18">
        <f>IF(AND(D431="",E431=""),"",IF(AND(L431&lt;&gt;"",M431&lt;&gt;""),"Completed","Scheduled"))</f>
        <v/>
      </c>
    </row>
    <row r="432">
      <c r="A432" s="15" t="n"/>
      <c r="B432" s="16" t="n"/>
      <c r="C432" s="16" t="n"/>
      <c r="D432" s="17" t="n"/>
      <c r="E432" s="17" t="n"/>
      <c r="F432" s="16" t="n"/>
      <c r="G432" s="16" t="n"/>
      <c r="H432" s="16" t="n"/>
      <c r="I432" s="16" t="n"/>
      <c r="J432" s="16" t="n"/>
      <c r="K432" s="16" t="n"/>
      <c r="L432" s="18">
        <f>IF(AND(D432="",E432=""),"",IFERROR(IF(F432&lt;&gt;"",F432,0)+IF(H432&lt;&gt;"",H432,0)+IF(J432&lt;&gt;"",J432,0),""))</f>
        <v/>
      </c>
      <c r="M432" s="18">
        <f>IF(AND(D432="",E432=""),"",IFERROR(IF(G432&lt;&gt;"",G432,0)+IF(I432&lt;&gt;"",I432,0)+IF(K432&lt;&gt;"",K432,0),""))</f>
        <v/>
      </c>
      <c r="N432" s="18">
        <f>IF(OR(L432="",M432=""),"",IF(L432&gt;M432,D432,IF(M432&gt;L432,E432,"Draw")))</f>
        <v/>
      </c>
      <c r="O432" s="18">
        <f>IF(AND(D432="",E432=""),"",IF(AND(L432&lt;&gt;"",M432&lt;&gt;""),"Completed","Scheduled"))</f>
        <v/>
      </c>
    </row>
    <row r="433">
      <c r="A433" s="15" t="n"/>
      <c r="B433" s="16" t="n"/>
      <c r="C433" s="16" t="n"/>
      <c r="D433" s="17" t="n"/>
      <c r="E433" s="17" t="n"/>
      <c r="F433" s="16" t="n"/>
      <c r="G433" s="16" t="n"/>
      <c r="H433" s="16" t="n"/>
      <c r="I433" s="16" t="n"/>
      <c r="J433" s="16" t="n"/>
      <c r="K433" s="16" t="n"/>
      <c r="L433" s="18">
        <f>IF(AND(D433="",E433=""),"",IFERROR(IF(F433&lt;&gt;"",F433,0)+IF(H433&lt;&gt;"",H433,0)+IF(J433&lt;&gt;"",J433,0),""))</f>
        <v/>
      </c>
      <c r="M433" s="18">
        <f>IF(AND(D433="",E433=""),"",IFERROR(IF(G433&lt;&gt;"",G433,0)+IF(I433&lt;&gt;"",I433,0)+IF(K433&lt;&gt;"",K433,0),""))</f>
        <v/>
      </c>
      <c r="N433" s="18">
        <f>IF(OR(L433="",M433=""),"",IF(L433&gt;M433,D433,IF(M433&gt;L433,E433,"Draw")))</f>
        <v/>
      </c>
      <c r="O433" s="18">
        <f>IF(AND(D433="",E433=""),"",IF(AND(L433&lt;&gt;"",M433&lt;&gt;""),"Completed","Scheduled"))</f>
        <v/>
      </c>
    </row>
    <row r="434">
      <c r="A434" s="15" t="n"/>
      <c r="B434" s="16" t="n"/>
      <c r="C434" s="16" t="n"/>
      <c r="D434" s="17" t="n"/>
      <c r="E434" s="17" t="n"/>
      <c r="F434" s="16" t="n"/>
      <c r="G434" s="16" t="n"/>
      <c r="H434" s="16" t="n"/>
      <c r="I434" s="16" t="n"/>
      <c r="J434" s="16" t="n"/>
      <c r="K434" s="16" t="n"/>
      <c r="L434" s="18">
        <f>IF(AND(D434="",E434=""),"",IFERROR(IF(F434&lt;&gt;"",F434,0)+IF(H434&lt;&gt;"",H434,0)+IF(J434&lt;&gt;"",J434,0),""))</f>
        <v/>
      </c>
      <c r="M434" s="18">
        <f>IF(AND(D434="",E434=""),"",IFERROR(IF(G434&lt;&gt;"",G434,0)+IF(I434&lt;&gt;"",I434,0)+IF(K434&lt;&gt;"",K434,0),""))</f>
        <v/>
      </c>
      <c r="N434" s="18">
        <f>IF(OR(L434="",M434=""),"",IF(L434&gt;M434,D434,IF(M434&gt;L434,E434,"Draw")))</f>
        <v/>
      </c>
      <c r="O434" s="18">
        <f>IF(AND(D434="",E434=""),"",IF(AND(L434&lt;&gt;"",M434&lt;&gt;""),"Completed","Scheduled"))</f>
        <v/>
      </c>
    </row>
    <row r="435">
      <c r="A435" s="15" t="n"/>
      <c r="B435" s="16" t="n"/>
      <c r="C435" s="16" t="n"/>
      <c r="D435" s="17" t="n"/>
      <c r="E435" s="17" t="n"/>
      <c r="F435" s="16" t="n"/>
      <c r="G435" s="16" t="n"/>
      <c r="H435" s="16" t="n"/>
      <c r="I435" s="16" t="n"/>
      <c r="J435" s="16" t="n"/>
      <c r="K435" s="16" t="n"/>
      <c r="L435" s="18">
        <f>IF(AND(D435="",E435=""),"",IFERROR(IF(F435&lt;&gt;"",F435,0)+IF(H435&lt;&gt;"",H435,0)+IF(J435&lt;&gt;"",J435,0),""))</f>
        <v/>
      </c>
      <c r="M435" s="18">
        <f>IF(AND(D435="",E435=""),"",IFERROR(IF(G435&lt;&gt;"",G435,0)+IF(I435&lt;&gt;"",I435,0)+IF(K435&lt;&gt;"",K435,0),""))</f>
        <v/>
      </c>
      <c r="N435" s="18">
        <f>IF(OR(L435="",M435=""),"",IF(L435&gt;M435,D435,IF(M435&gt;L435,E435,"Draw")))</f>
        <v/>
      </c>
      <c r="O435" s="18">
        <f>IF(AND(D435="",E435=""),"",IF(AND(L435&lt;&gt;"",M435&lt;&gt;""),"Completed","Scheduled"))</f>
        <v/>
      </c>
    </row>
    <row r="436">
      <c r="A436" s="15" t="n"/>
      <c r="B436" s="16" t="n"/>
      <c r="C436" s="16" t="n"/>
      <c r="D436" s="17" t="n"/>
      <c r="E436" s="17" t="n"/>
      <c r="F436" s="16" t="n"/>
      <c r="G436" s="16" t="n"/>
      <c r="H436" s="16" t="n"/>
      <c r="I436" s="16" t="n"/>
      <c r="J436" s="16" t="n"/>
      <c r="K436" s="16" t="n"/>
      <c r="L436" s="18">
        <f>IF(AND(D436="",E436=""),"",IFERROR(IF(F436&lt;&gt;"",F436,0)+IF(H436&lt;&gt;"",H436,0)+IF(J436&lt;&gt;"",J436,0),""))</f>
        <v/>
      </c>
      <c r="M436" s="18">
        <f>IF(AND(D436="",E436=""),"",IFERROR(IF(G436&lt;&gt;"",G436,0)+IF(I436&lt;&gt;"",I436,0)+IF(K436&lt;&gt;"",K436,0),""))</f>
        <v/>
      </c>
      <c r="N436" s="18">
        <f>IF(OR(L436="",M436=""),"",IF(L436&gt;M436,D436,IF(M436&gt;L436,E436,"Draw")))</f>
        <v/>
      </c>
      <c r="O436" s="18">
        <f>IF(AND(D436="",E436=""),"",IF(AND(L436&lt;&gt;"",M436&lt;&gt;""),"Completed","Scheduled"))</f>
        <v/>
      </c>
    </row>
    <row r="437">
      <c r="A437" s="15" t="n"/>
      <c r="B437" s="16" t="n"/>
      <c r="C437" s="16" t="n"/>
      <c r="D437" s="17" t="n"/>
      <c r="E437" s="17" t="n"/>
      <c r="F437" s="16" t="n"/>
      <c r="G437" s="16" t="n"/>
      <c r="H437" s="16" t="n"/>
      <c r="I437" s="16" t="n"/>
      <c r="J437" s="16" t="n"/>
      <c r="K437" s="16" t="n"/>
      <c r="L437" s="18">
        <f>IF(AND(D437="",E437=""),"",IFERROR(IF(F437&lt;&gt;"",F437,0)+IF(H437&lt;&gt;"",H437,0)+IF(J437&lt;&gt;"",J437,0),""))</f>
        <v/>
      </c>
      <c r="M437" s="18">
        <f>IF(AND(D437="",E437=""),"",IFERROR(IF(G437&lt;&gt;"",G437,0)+IF(I437&lt;&gt;"",I437,0)+IF(K437&lt;&gt;"",K437,0),""))</f>
        <v/>
      </c>
      <c r="N437" s="18">
        <f>IF(OR(L437="",M437=""),"",IF(L437&gt;M437,D437,IF(M437&gt;L437,E437,"Draw")))</f>
        <v/>
      </c>
      <c r="O437" s="18">
        <f>IF(AND(D437="",E437=""),"",IF(AND(L437&lt;&gt;"",M437&lt;&gt;""),"Completed","Scheduled"))</f>
        <v/>
      </c>
    </row>
    <row r="438">
      <c r="A438" s="15" t="n"/>
      <c r="B438" s="16" t="n"/>
      <c r="C438" s="16" t="n"/>
      <c r="D438" s="17" t="n"/>
      <c r="E438" s="17" t="n"/>
      <c r="F438" s="16" t="n"/>
      <c r="G438" s="16" t="n"/>
      <c r="H438" s="16" t="n"/>
      <c r="I438" s="16" t="n"/>
      <c r="J438" s="16" t="n"/>
      <c r="K438" s="16" t="n"/>
      <c r="L438" s="18">
        <f>IF(AND(D438="",E438=""),"",IFERROR(IF(F438&lt;&gt;"",F438,0)+IF(H438&lt;&gt;"",H438,0)+IF(J438&lt;&gt;"",J438,0),""))</f>
        <v/>
      </c>
      <c r="M438" s="18">
        <f>IF(AND(D438="",E438=""),"",IFERROR(IF(G438&lt;&gt;"",G438,0)+IF(I438&lt;&gt;"",I438,0)+IF(K438&lt;&gt;"",K438,0),""))</f>
        <v/>
      </c>
      <c r="N438" s="18">
        <f>IF(OR(L438="",M438=""),"",IF(L438&gt;M438,D438,IF(M438&gt;L438,E438,"Draw")))</f>
        <v/>
      </c>
      <c r="O438" s="18">
        <f>IF(AND(D438="",E438=""),"",IF(AND(L438&lt;&gt;"",M438&lt;&gt;""),"Completed","Scheduled"))</f>
        <v/>
      </c>
    </row>
    <row r="439">
      <c r="A439" s="15" t="n"/>
      <c r="B439" s="16" t="n"/>
      <c r="C439" s="16" t="n"/>
      <c r="D439" s="17" t="n"/>
      <c r="E439" s="17" t="n"/>
      <c r="F439" s="16" t="n"/>
      <c r="G439" s="16" t="n"/>
      <c r="H439" s="16" t="n"/>
      <c r="I439" s="16" t="n"/>
      <c r="J439" s="16" t="n"/>
      <c r="K439" s="16" t="n"/>
      <c r="L439" s="18">
        <f>IF(AND(D439="",E439=""),"",IFERROR(IF(F439&lt;&gt;"",F439,0)+IF(H439&lt;&gt;"",H439,0)+IF(J439&lt;&gt;"",J439,0),""))</f>
        <v/>
      </c>
      <c r="M439" s="18">
        <f>IF(AND(D439="",E439=""),"",IFERROR(IF(G439&lt;&gt;"",G439,0)+IF(I439&lt;&gt;"",I439,0)+IF(K439&lt;&gt;"",K439,0),""))</f>
        <v/>
      </c>
      <c r="N439" s="18">
        <f>IF(OR(L439="",M439=""),"",IF(L439&gt;M439,D439,IF(M439&gt;L439,E439,"Draw")))</f>
        <v/>
      </c>
      <c r="O439" s="18">
        <f>IF(AND(D439="",E439=""),"",IF(AND(L439&lt;&gt;"",M439&lt;&gt;""),"Completed","Scheduled"))</f>
        <v/>
      </c>
    </row>
    <row r="440">
      <c r="A440" s="15" t="n"/>
      <c r="B440" s="16" t="n"/>
      <c r="C440" s="16" t="n"/>
      <c r="D440" s="17" t="n"/>
      <c r="E440" s="17" t="n"/>
      <c r="F440" s="16" t="n"/>
      <c r="G440" s="16" t="n"/>
      <c r="H440" s="16" t="n"/>
      <c r="I440" s="16" t="n"/>
      <c r="J440" s="16" t="n"/>
      <c r="K440" s="16" t="n"/>
      <c r="L440" s="18">
        <f>IF(AND(D440="",E440=""),"",IFERROR(IF(F440&lt;&gt;"",F440,0)+IF(H440&lt;&gt;"",H440,0)+IF(J440&lt;&gt;"",J440,0),""))</f>
        <v/>
      </c>
      <c r="M440" s="18">
        <f>IF(AND(D440="",E440=""),"",IFERROR(IF(G440&lt;&gt;"",G440,0)+IF(I440&lt;&gt;"",I440,0)+IF(K440&lt;&gt;"",K440,0),""))</f>
        <v/>
      </c>
      <c r="N440" s="18">
        <f>IF(OR(L440="",M440=""),"",IF(L440&gt;M440,D440,IF(M440&gt;L440,E440,"Draw")))</f>
        <v/>
      </c>
      <c r="O440" s="18">
        <f>IF(AND(D440="",E440=""),"",IF(AND(L440&lt;&gt;"",M440&lt;&gt;""),"Completed","Scheduled"))</f>
        <v/>
      </c>
    </row>
    <row r="441">
      <c r="A441" s="15" t="n"/>
      <c r="B441" s="16" t="n"/>
      <c r="C441" s="16" t="n"/>
      <c r="D441" s="17" t="n"/>
      <c r="E441" s="17" t="n"/>
      <c r="F441" s="16" t="n"/>
      <c r="G441" s="16" t="n"/>
      <c r="H441" s="16" t="n"/>
      <c r="I441" s="16" t="n"/>
      <c r="J441" s="16" t="n"/>
      <c r="K441" s="16" t="n"/>
      <c r="L441" s="18">
        <f>IF(AND(D441="",E441=""),"",IFERROR(IF(F441&lt;&gt;"",F441,0)+IF(H441&lt;&gt;"",H441,0)+IF(J441&lt;&gt;"",J441,0),""))</f>
        <v/>
      </c>
      <c r="M441" s="18">
        <f>IF(AND(D441="",E441=""),"",IFERROR(IF(G441&lt;&gt;"",G441,0)+IF(I441&lt;&gt;"",I441,0)+IF(K441&lt;&gt;"",K441,0),""))</f>
        <v/>
      </c>
      <c r="N441" s="18">
        <f>IF(OR(L441="",M441=""),"",IF(L441&gt;M441,D441,IF(M441&gt;L441,E441,"Draw")))</f>
        <v/>
      </c>
      <c r="O441" s="18">
        <f>IF(AND(D441="",E441=""),"",IF(AND(L441&lt;&gt;"",M441&lt;&gt;""),"Completed","Scheduled"))</f>
        <v/>
      </c>
    </row>
    <row r="442">
      <c r="A442" s="15" t="n"/>
      <c r="B442" s="16" t="n"/>
      <c r="C442" s="16" t="n"/>
      <c r="D442" s="17" t="n"/>
      <c r="E442" s="17" t="n"/>
      <c r="F442" s="16" t="n"/>
      <c r="G442" s="16" t="n"/>
      <c r="H442" s="16" t="n"/>
      <c r="I442" s="16" t="n"/>
      <c r="J442" s="16" t="n"/>
      <c r="K442" s="16" t="n"/>
      <c r="L442" s="18">
        <f>IF(AND(D442="",E442=""),"",IFERROR(IF(F442&lt;&gt;"",F442,0)+IF(H442&lt;&gt;"",H442,0)+IF(J442&lt;&gt;"",J442,0),""))</f>
        <v/>
      </c>
      <c r="M442" s="18">
        <f>IF(AND(D442="",E442=""),"",IFERROR(IF(G442&lt;&gt;"",G442,0)+IF(I442&lt;&gt;"",I442,0)+IF(K442&lt;&gt;"",K442,0),""))</f>
        <v/>
      </c>
      <c r="N442" s="18">
        <f>IF(OR(L442="",M442=""),"",IF(L442&gt;M442,D442,IF(M442&gt;L442,E442,"Draw")))</f>
        <v/>
      </c>
      <c r="O442" s="18">
        <f>IF(AND(D442="",E442=""),"",IF(AND(L442&lt;&gt;"",M442&lt;&gt;""),"Completed","Scheduled"))</f>
        <v/>
      </c>
    </row>
    <row r="443">
      <c r="A443" s="15" t="n"/>
      <c r="B443" s="16" t="n"/>
      <c r="C443" s="16" t="n"/>
      <c r="D443" s="17" t="n"/>
      <c r="E443" s="17" t="n"/>
      <c r="F443" s="16" t="n"/>
      <c r="G443" s="16" t="n"/>
      <c r="H443" s="16" t="n"/>
      <c r="I443" s="16" t="n"/>
      <c r="J443" s="16" t="n"/>
      <c r="K443" s="16" t="n"/>
      <c r="L443" s="18">
        <f>IF(AND(D443="",E443=""),"",IFERROR(IF(F443&lt;&gt;"",F443,0)+IF(H443&lt;&gt;"",H443,0)+IF(J443&lt;&gt;"",J443,0),""))</f>
        <v/>
      </c>
      <c r="M443" s="18">
        <f>IF(AND(D443="",E443=""),"",IFERROR(IF(G443&lt;&gt;"",G443,0)+IF(I443&lt;&gt;"",I443,0)+IF(K443&lt;&gt;"",K443,0),""))</f>
        <v/>
      </c>
      <c r="N443" s="18">
        <f>IF(OR(L443="",M443=""),"",IF(L443&gt;M443,D443,IF(M443&gt;L443,E443,"Draw")))</f>
        <v/>
      </c>
      <c r="O443" s="18">
        <f>IF(AND(D443="",E443=""),"",IF(AND(L443&lt;&gt;"",M443&lt;&gt;""),"Completed","Scheduled"))</f>
        <v/>
      </c>
    </row>
    <row r="444">
      <c r="A444" s="15" t="n"/>
      <c r="B444" s="16" t="n"/>
      <c r="C444" s="16" t="n"/>
      <c r="D444" s="17" t="n"/>
      <c r="E444" s="17" t="n"/>
      <c r="F444" s="16" t="n"/>
      <c r="G444" s="16" t="n"/>
      <c r="H444" s="16" t="n"/>
      <c r="I444" s="16" t="n"/>
      <c r="J444" s="16" t="n"/>
      <c r="K444" s="16" t="n"/>
      <c r="L444" s="18">
        <f>IF(AND(D444="",E444=""),"",IFERROR(IF(F444&lt;&gt;"",F444,0)+IF(H444&lt;&gt;"",H444,0)+IF(J444&lt;&gt;"",J444,0),""))</f>
        <v/>
      </c>
      <c r="M444" s="18">
        <f>IF(AND(D444="",E444=""),"",IFERROR(IF(G444&lt;&gt;"",G444,0)+IF(I444&lt;&gt;"",I444,0)+IF(K444&lt;&gt;"",K444,0),""))</f>
        <v/>
      </c>
      <c r="N444" s="18">
        <f>IF(OR(L444="",M444=""),"",IF(L444&gt;M444,D444,IF(M444&gt;L444,E444,"Draw")))</f>
        <v/>
      </c>
      <c r="O444" s="18">
        <f>IF(AND(D444="",E444=""),"",IF(AND(L444&lt;&gt;"",M444&lt;&gt;""),"Completed","Scheduled"))</f>
        <v/>
      </c>
    </row>
    <row r="445">
      <c r="A445" s="15" t="n"/>
      <c r="B445" s="16" t="n"/>
      <c r="C445" s="16" t="n"/>
      <c r="D445" s="17" t="n"/>
      <c r="E445" s="17" t="n"/>
      <c r="F445" s="16" t="n"/>
      <c r="G445" s="16" t="n"/>
      <c r="H445" s="16" t="n"/>
      <c r="I445" s="16" t="n"/>
      <c r="J445" s="16" t="n"/>
      <c r="K445" s="16" t="n"/>
      <c r="L445" s="18">
        <f>IF(AND(D445="",E445=""),"",IFERROR(IF(F445&lt;&gt;"",F445,0)+IF(H445&lt;&gt;"",H445,0)+IF(J445&lt;&gt;"",J445,0),""))</f>
        <v/>
      </c>
      <c r="M445" s="18">
        <f>IF(AND(D445="",E445=""),"",IFERROR(IF(G445&lt;&gt;"",G445,0)+IF(I445&lt;&gt;"",I445,0)+IF(K445&lt;&gt;"",K445,0),""))</f>
        <v/>
      </c>
      <c r="N445" s="18">
        <f>IF(OR(L445="",M445=""),"",IF(L445&gt;M445,D445,IF(M445&gt;L445,E445,"Draw")))</f>
        <v/>
      </c>
      <c r="O445" s="18">
        <f>IF(AND(D445="",E445=""),"",IF(AND(L445&lt;&gt;"",M445&lt;&gt;""),"Completed","Scheduled"))</f>
        <v/>
      </c>
    </row>
    <row r="446">
      <c r="A446" s="15" t="n"/>
      <c r="B446" s="16" t="n"/>
      <c r="C446" s="16" t="n"/>
      <c r="D446" s="17" t="n"/>
      <c r="E446" s="17" t="n"/>
      <c r="F446" s="16" t="n"/>
      <c r="G446" s="16" t="n"/>
      <c r="H446" s="16" t="n"/>
      <c r="I446" s="16" t="n"/>
      <c r="J446" s="16" t="n"/>
      <c r="K446" s="16" t="n"/>
      <c r="L446" s="18">
        <f>IF(AND(D446="",E446=""),"",IFERROR(IF(F446&lt;&gt;"",F446,0)+IF(H446&lt;&gt;"",H446,0)+IF(J446&lt;&gt;"",J446,0),""))</f>
        <v/>
      </c>
      <c r="M446" s="18">
        <f>IF(AND(D446="",E446=""),"",IFERROR(IF(G446&lt;&gt;"",G446,0)+IF(I446&lt;&gt;"",I446,0)+IF(K446&lt;&gt;"",K446,0),""))</f>
        <v/>
      </c>
      <c r="N446" s="18">
        <f>IF(OR(L446="",M446=""),"",IF(L446&gt;M446,D446,IF(M446&gt;L446,E446,"Draw")))</f>
        <v/>
      </c>
      <c r="O446" s="18">
        <f>IF(AND(D446="",E446=""),"",IF(AND(L446&lt;&gt;"",M446&lt;&gt;""),"Completed","Scheduled"))</f>
        <v/>
      </c>
    </row>
    <row r="447">
      <c r="A447" s="15" t="n"/>
      <c r="B447" s="16" t="n"/>
      <c r="C447" s="16" t="n"/>
      <c r="D447" s="17" t="n"/>
      <c r="E447" s="17" t="n"/>
      <c r="F447" s="16" t="n"/>
      <c r="G447" s="16" t="n"/>
      <c r="H447" s="16" t="n"/>
      <c r="I447" s="16" t="n"/>
      <c r="J447" s="16" t="n"/>
      <c r="K447" s="16" t="n"/>
      <c r="L447" s="18">
        <f>IF(AND(D447="",E447=""),"",IFERROR(IF(F447&lt;&gt;"",F447,0)+IF(H447&lt;&gt;"",H447,0)+IF(J447&lt;&gt;"",J447,0),""))</f>
        <v/>
      </c>
      <c r="M447" s="18">
        <f>IF(AND(D447="",E447=""),"",IFERROR(IF(G447&lt;&gt;"",G447,0)+IF(I447&lt;&gt;"",I447,0)+IF(K447&lt;&gt;"",K447,0),""))</f>
        <v/>
      </c>
      <c r="N447" s="18">
        <f>IF(OR(L447="",M447=""),"",IF(L447&gt;M447,D447,IF(M447&gt;L447,E447,"Draw")))</f>
        <v/>
      </c>
      <c r="O447" s="18">
        <f>IF(AND(D447="",E447=""),"",IF(AND(L447&lt;&gt;"",M447&lt;&gt;""),"Completed","Scheduled"))</f>
        <v/>
      </c>
    </row>
    <row r="448">
      <c r="A448" s="15" t="n"/>
      <c r="B448" s="16" t="n"/>
      <c r="C448" s="16" t="n"/>
      <c r="D448" s="17" t="n"/>
      <c r="E448" s="17" t="n"/>
      <c r="F448" s="16" t="n"/>
      <c r="G448" s="16" t="n"/>
      <c r="H448" s="16" t="n"/>
      <c r="I448" s="16" t="n"/>
      <c r="J448" s="16" t="n"/>
      <c r="K448" s="16" t="n"/>
      <c r="L448" s="18">
        <f>IF(AND(D448="",E448=""),"",IFERROR(IF(F448&lt;&gt;"",F448,0)+IF(H448&lt;&gt;"",H448,0)+IF(J448&lt;&gt;"",J448,0),""))</f>
        <v/>
      </c>
      <c r="M448" s="18">
        <f>IF(AND(D448="",E448=""),"",IFERROR(IF(G448&lt;&gt;"",G448,0)+IF(I448&lt;&gt;"",I448,0)+IF(K448&lt;&gt;"",K448,0),""))</f>
        <v/>
      </c>
      <c r="N448" s="18">
        <f>IF(OR(L448="",M448=""),"",IF(L448&gt;M448,D448,IF(M448&gt;L448,E448,"Draw")))</f>
        <v/>
      </c>
      <c r="O448" s="18">
        <f>IF(AND(D448="",E448=""),"",IF(AND(L448&lt;&gt;"",M448&lt;&gt;""),"Completed","Scheduled"))</f>
        <v/>
      </c>
    </row>
    <row r="449">
      <c r="A449" s="15" t="n"/>
      <c r="B449" s="16" t="n"/>
      <c r="C449" s="16" t="n"/>
      <c r="D449" s="17" t="n"/>
      <c r="E449" s="17" t="n"/>
      <c r="F449" s="16" t="n"/>
      <c r="G449" s="16" t="n"/>
      <c r="H449" s="16" t="n"/>
      <c r="I449" s="16" t="n"/>
      <c r="J449" s="16" t="n"/>
      <c r="K449" s="16" t="n"/>
      <c r="L449" s="18">
        <f>IF(AND(D449="",E449=""),"",IFERROR(IF(F449&lt;&gt;"",F449,0)+IF(H449&lt;&gt;"",H449,0)+IF(J449&lt;&gt;"",J449,0),""))</f>
        <v/>
      </c>
      <c r="M449" s="18">
        <f>IF(AND(D449="",E449=""),"",IFERROR(IF(G449&lt;&gt;"",G449,0)+IF(I449&lt;&gt;"",I449,0)+IF(K449&lt;&gt;"",K449,0),""))</f>
        <v/>
      </c>
      <c r="N449" s="18">
        <f>IF(OR(L449="",M449=""),"",IF(L449&gt;M449,D449,IF(M449&gt;L449,E449,"Draw")))</f>
        <v/>
      </c>
      <c r="O449" s="18">
        <f>IF(AND(D449="",E449=""),"",IF(AND(L449&lt;&gt;"",M449&lt;&gt;""),"Completed","Scheduled"))</f>
        <v/>
      </c>
    </row>
    <row r="450">
      <c r="A450" s="15" t="n"/>
      <c r="B450" s="16" t="n"/>
      <c r="C450" s="16" t="n"/>
      <c r="D450" s="17" t="n"/>
      <c r="E450" s="17" t="n"/>
      <c r="F450" s="16" t="n"/>
      <c r="G450" s="16" t="n"/>
      <c r="H450" s="16" t="n"/>
      <c r="I450" s="16" t="n"/>
      <c r="J450" s="16" t="n"/>
      <c r="K450" s="16" t="n"/>
      <c r="L450" s="18">
        <f>IF(AND(D450="",E450=""),"",IFERROR(IF(F450&lt;&gt;"",F450,0)+IF(H450&lt;&gt;"",H450,0)+IF(J450&lt;&gt;"",J450,0),""))</f>
        <v/>
      </c>
      <c r="M450" s="18">
        <f>IF(AND(D450="",E450=""),"",IFERROR(IF(G450&lt;&gt;"",G450,0)+IF(I450&lt;&gt;"",I450,0)+IF(K450&lt;&gt;"",K450,0),""))</f>
        <v/>
      </c>
      <c r="N450" s="18">
        <f>IF(OR(L450="",M450=""),"",IF(L450&gt;M450,D450,IF(M450&gt;L450,E450,"Draw")))</f>
        <v/>
      </c>
      <c r="O450" s="18">
        <f>IF(AND(D450="",E450=""),"",IF(AND(L450&lt;&gt;"",M450&lt;&gt;""),"Completed","Scheduled"))</f>
        <v/>
      </c>
    </row>
    <row r="451">
      <c r="A451" s="15" t="n"/>
      <c r="B451" s="16" t="n"/>
      <c r="C451" s="16" t="n"/>
      <c r="D451" s="17" t="n"/>
      <c r="E451" s="17" t="n"/>
      <c r="F451" s="16" t="n"/>
      <c r="G451" s="16" t="n"/>
      <c r="H451" s="16" t="n"/>
      <c r="I451" s="16" t="n"/>
      <c r="J451" s="16" t="n"/>
      <c r="K451" s="16" t="n"/>
      <c r="L451" s="18">
        <f>IF(AND(D451="",E451=""),"",IFERROR(IF(F451&lt;&gt;"",F451,0)+IF(H451&lt;&gt;"",H451,0)+IF(J451&lt;&gt;"",J451,0),""))</f>
        <v/>
      </c>
      <c r="M451" s="18">
        <f>IF(AND(D451="",E451=""),"",IFERROR(IF(G451&lt;&gt;"",G451,0)+IF(I451&lt;&gt;"",I451,0)+IF(K451&lt;&gt;"",K451,0),""))</f>
        <v/>
      </c>
      <c r="N451" s="18">
        <f>IF(OR(L451="",M451=""),"",IF(L451&gt;M451,D451,IF(M451&gt;L451,E451,"Draw")))</f>
        <v/>
      </c>
      <c r="O451" s="18">
        <f>IF(AND(D451="",E451=""),"",IF(AND(L451&lt;&gt;"",M451&lt;&gt;""),"Completed","Scheduled"))</f>
        <v/>
      </c>
    </row>
    <row r="452">
      <c r="A452" s="15" t="n"/>
      <c r="B452" s="16" t="n"/>
      <c r="C452" s="16" t="n"/>
      <c r="D452" s="17" t="n"/>
      <c r="E452" s="17" t="n"/>
      <c r="F452" s="16" t="n"/>
      <c r="G452" s="16" t="n"/>
      <c r="H452" s="16" t="n"/>
      <c r="I452" s="16" t="n"/>
      <c r="J452" s="16" t="n"/>
      <c r="K452" s="16" t="n"/>
      <c r="L452" s="18">
        <f>IF(AND(D452="",E452=""),"",IFERROR(IF(F452&lt;&gt;"",F452,0)+IF(H452&lt;&gt;"",H452,0)+IF(J452&lt;&gt;"",J452,0),""))</f>
        <v/>
      </c>
      <c r="M452" s="18">
        <f>IF(AND(D452="",E452=""),"",IFERROR(IF(G452&lt;&gt;"",G452,0)+IF(I452&lt;&gt;"",I452,0)+IF(K452&lt;&gt;"",K452,0),""))</f>
        <v/>
      </c>
      <c r="N452" s="18">
        <f>IF(OR(L452="",M452=""),"",IF(L452&gt;M452,D452,IF(M452&gt;L452,E452,"Draw")))</f>
        <v/>
      </c>
      <c r="O452" s="18">
        <f>IF(AND(D452="",E452=""),"",IF(AND(L452&lt;&gt;"",M452&lt;&gt;""),"Completed","Scheduled"))</f>
        <v/>
      </c>
    </row>
    <row r="453">
      <c r="A453" s="15" t="n"/>
      <c r="B453" s="16" t="n"/>
      <c r="C453" s="16" t="n"/>
      <c r="D453" s="17" t="n"/>
      <c r="E453" s="17" t="n"/>
      <c r="F453" s="16" t="n"/>
      <c r="G453" s="16" t="n"/>
      <c r="H453" s="16" t="n"/>
      <c r="I453" s="16" t="n"/>
      <c r="J453" s="16" t="n"/>
      <c r="K453" s="16" t="n"/>
      <c r="L453" s="18">
        <f>IF(AND(D453="",E453=""),"",IFERROR(IF(F453&lt;&gt;"",F453,0)+IF(H453&lt;&gt;"",H453,0)+IF(J453&lt;&gt;"",J453,0),""))</f>
        <v/>
      </c>
      <c r="M453" s="18">
        <f>IF(AND(D453="",E453=""),"",IFERROR(IF(G453&lt;&gt;"",G453,0)+IF(I453&lt;&gt;"",I453,0)+IF(K453&lt;&gt;"",K453,0),""))</f>
        <v/>
      </c>
      <c r="N453" s="18">
        <f>IF(OR(L453="",M453=""),"",IF(L453&gt;M453,D453,IF(M453&gt;L453,E453,"Draw")))</f>
        <v/>
      </c>
      <c r="O453" s="18">
        <f>IF(AND(D453="",E453=""),"",IF(AND(L453&lt;&gt;"",M453&lt;&gt;""),"Completed","Scheduled"))</f>
        <v/>
      </c>
    </row>
    <row r="454">
      <c r="A454" s="15" t="n"/>
      <c r="B454" s="16" t="n"/>
      <c r="C454" s="16" t="n"/>
      <c r="D454" s="17" t="n"/>
      <c r="E454" s="17" t="n"/>
      <c r="F454" s="16" t="n"/>
      <c r="G454" s="16" t="n"/>
      <c r="H454" s="16" t="n"/>
      <c r="I454" s="16" t="n"/>
      <c r="J454" s="16" t="n"/>
      <c r="K454" s="16" t="n"/>
      <c r="L454" s="18">
        <f>IF(AND(D454="",E454=""),"",IFERROR(IF(F454&lt;&gt;"",F454,0)+IF(H454&lt;&gt;"",H454,0)+IF(J454&lt;&gt;"",J454,0),""))</f>
        <v/>
      </c>
      <c r="M454" s="18">
        <f>IF(AND(D454="",E454=""),"",IFERROR(IF(G454&lt;&gt;"",G454,0)+IF(I454&lt;&gt;"",I454,0)+IF(K454&lt;&gt;"",K454,0),""))</f>
        <v/>
      </c>
      <c r="N454" s="18">
        <f>IF(OR(L454="",M454=""),"",IF(L454&gt;M454,D454,IF(M454&gt;L454,E454,"Draw")))</f>
        <v/>
      </c>
      <c r="O454" s="18">
        <f>IF(AND(D454="",E454=""),"",IF(AND(L454&lt;&gt;"",M454&lt;&gt;""),"Completed","Scheduled"))</f>
        <v/>
      </c>
    </row>
    <row r="455">
      <c r="A455" s="15" t="n"/>
      <c r="B455" s="16" t="n"/>
      <c r="C455" s="16" t="n"/>
      <c r="D455" s="17" t="n"/>
      <c r="E455" s="17" t="n"/>
      <c r="F455" s="16" t="n"/>
      <c r="G455" s="16" t="n"/>
      <c r="H455" s="16" t="n"/>
      <c r="I455" s="16" t="n"/>
      <c r="J455" s="16" t="n"/>
      <c r="K455" s="16" t="n"/>
      <c r="L455" s="18">
        <f>IF(AND(D455="",E455=""),"",IFERROR(IF(F455&lt;&gt;"",F455,0)+IF(H455&lt;&gt;"",H455,0)+IF(J455&lt;&gt;"",J455,0),""))</f>
        <v/>
      </c>
      <c r="M455" s="18">
        <f>IF(AND(D455="",E455=""),"",IFERROR(IF(G455&lt;&gt;"",G455,0)+IF(I455&lt;&gt;"",I455,0)+IF(K455&lt;&gt;"",K455,0),""))</f>
        <v/>
      </c>
      <c r="N455" s="18">
        <f>IF(OR(L455="",M455=""),"",IF(L455&gt;M455,D455,IF(M455&gt;L455,E455,"Draw")))</f>
        <v/>
      </c>
      <c r="O455" s="18">
        <f>IF(AND(D455="",E455=""),"",IF(AND(L455&lt;&gt;"",M455&lt;&gt;""),"Completed","Scheduled"))</f>
        <v/>
      </c>
    </row>
    <row r="456">
      <c r="A456" s="15" t="n"/>
      <c r="B456" s="16" t="n"/>
      <c r="C456" s="16" t="n"/>
      <c r="D456" s="17" t="n"/>
      <c r="E456" s="17" t="n"/>
      <c r="F456" s="16" t="n"/>
      <c r="G456" s="16" t="n"/>
      <c r="H456" s="16" t="n"/>
      <c r="I456" s="16" t="n"/>
      <c r="J456" s="16" t="n"/>
      <c r="K456" s="16" t="n"/>
      <c r="L456" s="18">
        <f>IF(AND(D456="",E456=""),"",IFERROR(IF(F456&lt;&gt;"",F456,0)+IF(H456&lt;&gt;"",H456,0)+IF(J456&lt;&gt;"",J456,0),""))</f>
        <v/>
      </c>
      <c r="M456" s="18">
        <f>IF(AND(D456="",E456=""),"",IFERROR(IF(G456&lt;&gt;"",G456,0)+IF(I456&lt;&gt;"",I456,0)+IF(K456&lt;&gt;"",K456,0),""))</f>
        <v/>
      </c>
      <c r="N456" s="18">
        <f>IF(OR(L456="",M456=""),"",IF(L456&gt;M456,D456,IF(M456&gt;L456,E456,"Draw")))</f>
        <v/>
      </c>
      <c r="O456" s="18">
        <f>IF(AND(D456="",E456=""),"",IF(AND(L456&lt;&gt;"",M456&lt;&gt;""),"Completed","Scheduled"))</f>
        <v/>
      </c>
    </row>
    <row r="457">
      <c r="A457" s="15" t="n"/>
      <c r="B457" s="16" t="n"/>
      <c r="C457" s="16" t="n"/>
      <c r="D457" s="17" t="n"/>
      <c r="E457" s="17" t="n"/>
      <c r="F457" s="16" t="n"/>
      <c r="G457" s="16" t="n"/>
      <c r="H457" s="16" t="n"/>
      <c r="I457" s="16" t="n"/>
      <c r="J457" s="16" t="n"/>
      <c r="K457" s="16" t="n"/>
      <c r="L457" s="18">
        <f>IF(AND(D457="",E457=""),"",IFERROR(IF(F457&lt;&gt;"",F457,0)+IF(H457&lt;&gt;"",H457,0)+IF(J457&lt;&gt;"",J457,0),""))</f>
        <v/>
      </c>
      <c r="M457" s="18">
        <f>IF(AND(D457="",E457=""),"",IFERROR(IF(G457&lt;&gt;"",G457,0)+IF(I457&lt;&gt;"",I457,0)+IF(K457&lt;&gt;"",K457,0),""))</f>
        <v/>
      </c>
      <c r="N457" s="18">
        <f>IF(OR(L457="",M457=""),"",IF(L457&gt;M457,D457,IF(M457&gt;L457,E457,"Draw")))</f>
        <v/>
      </c>
      <c r="O457" s="18">
        <f>IF(AND(D457="",E457=""),"",IF(AND(L457&lt;&gt;"",M457&lt;&gt;""),"Completed","Scheduled"))</f>
        <v/>
      </c>
    </row>
    <row r="458">
      <c r="A458" s="15" t="n"/>
      <c r="B458" s="16" t="n"/>
      <c r="C458" s="16" t="n"/>
      <c r="D458" s="17" t="n"/>
      <c r="E458" s="17" t="n"/>
      <c r="F458" s="16" t="n"/>
      <c r="G458" s="16" t="n"/>
      <c r="H458" s="16" t="n"/>
      <c r="I458" s="16" t="n"/>
      <c r="J458" s="16" t="n"/>
      <c r="K458" s="16" t="n"/>
      <c r="L458" s="18">
        <f>IF(AND(D458="",E458=""),"",IFERROR(IF(F458&lt;&gt;"",F458,0)+IF(H458&lt;&gt;"",H458,0)+IF(J458&lt;&gt;"",J458,0),""))</f>
        <v/>
      </c>
      <c r="M458" s="18">
        <f>IF(AND(D458="",E458=""),"",IFERROR(IF(G458&lt;&gt;"",G458,0)+IF(I458&lt;&gt;"",I458,0)+IF(K458&lt;&gt;"",K458,0),""))</f>
        <v/>
      </c>
      <c r="N458" s="18">
        <f>IF(OR(L458="",M458=""),"",IF(L458&gt;M458,D458,IF(M458&gt;L458,E458,"Draw")))</f>
        <v/>
      </c>
      <c r="O458" s="18">
        <f>IF(AND(D458="",E458=""),"",IF(AND(L458&lt;&gt;"",M458&lt;&gt;""),"Completed","Scheduled"))</f>
        <v/>
      </c>
    </row>
    <row r="459">
      <c r="A459" s="15" t="n"/>
      <c r="B459" s="16" t="n"/>
      <c r="C459" s="16" t="n"/>
      <c r="D459" s="17" t="n"/>
      <c r="E459" s="17" t="n"/>
      <c r="F459" s="16" t="n"/>
      <c r="G459" s="16" t="n"/>
      <c r="H459" s="16" t="n"/>
      <c r="I459" s="16" t="n"/>
      <c r="J459" s="16" t="n"/>
      <c r="K459" s="16" t="n"/>
      <c r="L459" s="18">
        <f>IF(AND(D459="",E459=""),"",IFERROR(IF(F459&lt;&gt;"",F459,0)+IF(H459&lt;&gt;"",H459,0)+IF(J459&lt;&gt;"",J459,0),""))</f>
        <v/>
      </c>
      <c r="M459" s="18">
        <f>IF(AND(D459="",E459=""),"",IFERROR(IF(G459&lt;&gt;"",G459,0)+IF(I459&lt;&gt;"",I459,0)+IF(K459&lt;&gt;"",K459,0),""))</f>
        <v/>
      </c>
      <c r="N459" s="18">
        <f>IF(OR(L459="",M459=""),"",IF(L459&gt;M459,D459,IF(M459&gt;L459,E459,"Draw")))</f>
        <v/>
      </c>
      <c r="O459" s="18">
        <f>IF(AND(D459="",E459=""),"",IF(AND(L459&lt;&gt;"",M459&lt;&gt;""),"Completed","Scheduled"))</f>
        <v/>
      </c>
    </row>
    <row r="460">
      <c r="A460" s="15" t="n"/>
      <c r="B460" s="16" t="n"/>
      <c r="C460" s="16" t="n"/>
      <c r="D460" s="17" t="n"/>
      <c r="E460" s="17" t="n"/>
      <c r="F460" s="16" t="n"/>
      <c r="G460" s="16" t="n"/>
      <c r="H460" s="16" t="n"/>
      <c r="I460" s="16" t="n"/>
      <c r="J460" s="16" t="n"/>
      <c r="K460" s="16" t="n"/>
      <c r="L460" s="18">
        <f>IF(AND(D460="",E460=""),"",IFERROR(IF(F460&lt;&gt;"",F460,0)+IF(H460&lt;&gt;"",H460,0)+IF(J460&lt;&gt;"",J460,0),""))</f>
        <v/>
      </c>
      <c r="M460" s="18">
        <f>IF(AND(D460="",E460=""),"",IFERROR(IF(G460&lt;&gt;"",G460,0)+IF(I460&lt;&gt;"",I460,0)+IF(K460&lt;&gt;"",K460,0),""))</f>
        <v/>
      </c>
      <c r="N460" s="18">
        <f>IF(OR(L460="",M460=""),"",IF(L460&gt;M460,D460,IF(M460&gt;L460,E460,"Draw")))</f>
        <v/>
      </c>
      <c r="O460" s="18">
        <f>IF(AND(D460="",E460=""),"",IF(AND(L460&lt;&gt;"",M460&lt;&gt;""),"Completed","Scheduled"))</f>
        <v/>
      </c>
    </row>
    <row r="461">
      <c r="A461" s="15" t="n"/>
      <c r="B461" s="16" t="n"/>
      <c r="C461" s="16" t="n"/>
      <c r="D461" s="17" t="n"/>
      <c r="E461" s="17" t="n"/>
      <c r="F461" s="16" t="n"/>
      <c r="G461" s="16" t="n"/>
      <c r="H461" s="16" t="n"/>
      <c r="I461" s="16" t="n"/>
      <c r="J461" s="16" t="n"/>
      <c r="K461" s="16" t="n"/>
      <c r="L461" s="18">
        <f>IF(AND(D461="",E461=""),"",IFERROR(IF(F461&lt;&gt;"",F461,0)+IF(H461&lt;&gt;"",H461,0)+IF(J461&lt;&gt;"",J461,0),""))</f>
        <v/>
      </c>
      <c r="M461" s="18">
        <f>IF(AND(D461="",E461=""),"",IFERROR(IF(G461&lt;&gt;"",G461,0)+IF(I461&lt;&gt;"",I461,0)+IF(K461&lt;&gt;"",K461,0),""))</f>
        <v/>
      </c>
      <c r="N461" s="18">
        <f>IF(OR(L461="",M461=""),"",IF(L461&gt;M461,D461,IF(M461&gt;L461,E461,"Draw")))</f>
        <v/>
      </c>
      <c r="O461" s="18">
        <f>IF(AND(D461="",E461=""),"",IF(AND(L461&lt;&gt;"",M461&lt;&gt;""),"Completed","Scheduled"))</f>
        <v/>
      </c>
    </row>
    <row r="462">
      <c r="A462" s="15" t="n"/>
      <c r="B462" s="16" t="n"/>
      <c r="C462" s="16" t="n"/>
      <c r="D462" s="17" t="n"/>
      <c r="E462" s="17" t="n"/>
      <c r="F462" s="16" t="n"/>
      <c r="G462" s="16" t="n"/>
      <c r="H462" s="16" t="n"/>
      <c r="I462" s="16" t="n"/>
      <c r="J462" s="16" t="n"/>
      <c r="K462" s="16" t="n"/>
      <c r="L462" s="18">
        <f>IF(AND(D462="",E462=""),"",IFERROR(IF(F462&lt;&gt;"",F462,0)+IF(H462&lt;&gt;"",H462,0)+IF(J462&lt;&gt;"",J462,0),""))</f>
        <v/>
      </c>
      <c r="M462" s="18">
        <f>IF(AND(D462="",E462=""),"",IFERROR(IF(G462&lt;&gt;"",G462,0)+IF(I462&lt;&gt;"",I462,0)+IF(K462&lt;&gt;"",K462,0),""))</f>
        <v/>
      </c>
      <c r="N462" s="18">
        <f>IF(OR(L462="",M462=""),"",IF(L462&gt;M462,D462,IF(M462&gt;L462,E462,"Draw")))</f>
        <v/>
      </c>
      <c r="O462" s="18">
        <f>IF(AND(D462="",E462=""),"",IF(AND(L462&lt;&gt;"",M462&lt;&gt;""),"Completed","Scheduled"))</f>
        <v/>
      </c>
    </row>
    <row r="463">
      <c r="A463" s="15" t="n"/>
      <c r="B463" s="16" t="n"/>
      <c r="C463" s="16" t="n"/>
      <c r="D463" s="17" t="n"/>
      <c r="E463" s="17" t="n"/>
      <c r="F463" s="16" t="n"/>
      <c r="G463" s="16" t="n"/>
      <c r="H463" s="16" t="n"/>
      <c r="I463" s="16" t="n"/>
      <c r="J463" s="16" t="n"/>
      <c r="K463" s="16" t="n"/>
      <c r="L463" s="18">
        <f>IF(AND(D463="",E463=""),"",IFERROR(IF(F463&lt;&gt;"",F463,0)+IF(H463&lt;&gt;"",H463,0)+IF(J463&lt;&gt;"",J463,0),""))</f>
        <v/>
      </c>
      <c r="M463" s="18">
        <f>IF(AND(D463="",E463=""),"",IFERROR(IF(G463&lt;&gt;"",G463,0)+IF(I463&lt;&gt;"",I463,0)+IF(K463&lt;&gt;"",K463,0),""))</f>
        <v/>
      </c>
      <c r="N463" s="18">
        <f>IF(OR(L463="",M463=""),"",IF(L463&gt;M463,D463,IF(M463&gt;L463,E463,"Draw")))</f>
        <v/>
      </c>
      <c r="O463" s="18">
        <f>IF(AND(D463="",E463=""),"",IF(AND(L463&lt;&gt;"",M463&lt;&gt;""),"Completed","Scheduled"))</f>
        <v/>
      </c>
    </row>
    <row r="464">
      <c r="A464" s="15" t="n"/>
      <c r="B464" s="16" t="n"/>
      <c r="C464" s="16" t="n"/>
      <c r="D464" s="17" t="n"/>
      <c r="E464" s="17" t="n"/>
      <c r="F464" s="16" t="n"/>
      <c r="G464" s="16" t="n"/>
      <c r="H464" s="16" t="n"/>
      <c r="I464" s="16" t="n"/>
      <c r="J464" s="16" t="n"/>
      <c r="K464" s="16" t="n"/>
      <c r="L464" s="18">
        <f>IF(AND(D464="",E464=""),"",IFERROR(IF(F464&lt;&gt;"",F464,0)+IF(H464&lt;&gt;"",H464,0)+IF(J464&lt;&gt;"",J464,0),""))</f>
        <v/>
      </c>
      <c r="M464" s="18">
        <f>IF(AND(D464="",E464=""),"",IFERROR(IF(G464&lt;&gt;"",G464,0)+IF(I464&lt;&gt;"",I464,0)+IF(K464&lt;&gt;"",K464,0),""))</f>
        <v/>
      </c>
      <c r="N464" s="18">
        <f>IF(OR(L464="",M464=""),"",IF(L464&gt;M464,D464,IF(M464&gt;L464,E464,"Draw")))</f>
        <v/>
      </c>
      <c r="O464" s="18">
        <f>IF(AND(D464="",E464=""),"",IF(AND(L464&lt;&gt;"",M464&lt;&gt;""),"Completed","Scheduled"))</f>
        <v/>
      </c>
    </row>
    <row r="465">
      <c r="A465" s="15" t="n"/>
      <c r="B465" s="16" t="n"/>
      <c r="C465" s="16" t="n"/>
      <c r="D465" s="17" t="n"/>
      <c r="E465" s="17" t="n"/>
      <c r="F465" s="16" t="n"/>
      <c r="G465" s="16" t="n"/>
      <c r="H465" s="16" t="n"/>
      <c r="I465" s="16" t="n"/>
      <c r="J465" s="16" t="n"/>
      <c r="K465" s="16" t="n"/>
      <c r="L465" s="18">
        <f>IF(AND(D465="",E465=""),"",IFERROR(IF(F465&lt;&gt;"",F465,0)+IF(H465&lt;&gt;"",H465,0)+IF(J465&lt;&gt;"",J465,0),""))</f>
        <v/>
      </c>
      <c r="M465" s="18">
        <f>IF(AND(D465="",E465=""),"",IFERROR(IF(G465&lt;&gt;"",G465,0)+IF(I465&lt;&gt;"",I465,0)+IF(K465&lt;&gt;"",K465,0),""))</f>
        <v/>
      </c>
      <c r="N465" s="18">
        <f>IF(OR(L465="",M465=""),"",IF(L465&gt;M465,D465,IF(M465&gt;L465,E465,"Draw")))</f>
        <v/>
      </c>
      <c r="O465" s="18">
        <f>IF(AND(D465="",E465=""),"",IF(AND(L465&lt;&gt;"",M465&lt;&gt;""),"Completed","Scheduled"))</f>
        <v/>
      </c>
    </row>
    <row r="466">
      <c r="A466" s="15" t="n"/>
      <c r="B466" s="16" t="n"/>
      <c r="C466" s="16" t="n"/>
      <c r="D466" s="17" t="n"/>
      <c r="E466" s="17" t="n"/>
      <c r="F466" s="16" t="n"/>
      <c r="G466" s="16" t="n"/>
      <c r="H466" s="16" t="n"/>
      <c r="I466" s="16" t="n"/>
      <c r="J466" s="16" t="n"/>
      <c r="K466" s="16" t="n"/>
      <c r="L466" s="18">
        <f>IF(AND(D466="",E466=""),"",IFERROR(IF(F466&lt;&gt;"",F466,0)+IF(H466&lt;&gt;"",H466,0)+IF(J466&lt;&gt;"",J466,0),""))</f>
        <v/>
      </c>
      <c r="M466" s="18">
        <f>IF(AND(D466="",E466=""),"",IFERROR(IF(G466&lt;&gt;"",G466,0)+IF(I466&lt;&gt;"",I466,0)+IF(K466&lt;&gt;"",K466,0),""))</f>
        <v/>
      </c>
      <c r="N466" s="18">
        <f>IF(OR(L466="",M466=""),"",IF(L466&gt;M466,D466,IF(M466&gt;L466,E466,"Draw")))</f>
        <v/>
      </c>
      <c r="O466" s="18">
        <f>IF(AND(D466="",E466=""),"",IF(AND(L466&lt;&gt;"",M466&lt;&gt;""),"Completed","Scheduled"))</f>
        <v/>
      </c>
    </row>
    <row r="467">
      <c r="A467" s="15" t="n"/>
      <c r="B467" s="16" t="n"/>
      <c r="C467" s="16" t="n"/>
      <c r="D467" s="17" t="n"/>
      <c r="E467" s="17" t="n"/>
      <c r="F467" s="16" t="n"/>
      <c r="G467" s="16" t="n"/>
      <c r="H467" s="16" t="n"/>
      <c r="I467" s="16" t="n"/>
      <c r="J467" s="16" t="n"/>
      <c r="K467" s="16" t="n"/>
      <c r="L467" s="18">
        <f>IF(AND(D467="",E467=""),"",IFERROR(IF(F467&lt;&gt;"",F467,0)+IF(H467&lt;&gt;"",H467,0)+IF(J467&lt;&gt;"",J467,0),""))</f>
        <v/>
      </c>
      <c r="M467" s="18">
        <f>IF(AND(D467="",E467=""),"",IFERROR(IF(G467&lt;&gt;"",G467,0)+IF(I467&lt;&gt;"",I467,0)+IF(K467&lt;&gt;"",K467,0),""))</f>
        <v/>
      </c>
      <c r="N467" s="18">
        <f>IF(OR(L467="",M467=""),"",IF(L467&gt;M467,D467,IF(M467&gt;L467,E467,"Draw")))</f>
        <v/>
      </c>
      <c r="O467" s="18">
        <f>IF(AND(D467="",E467=""),"",IF(AND(L467&lt;&gt;"",M467&lt;&gt;""),"Completed","Scheduled"))</f>
        <v/>
      </c>
    </row>
    <row r="468">
      <c r="A468" s="15" t="n"/>
      <c r="B468" s="16" t="n"/>
      <c r="C468" s="16" t="n"/>
      <c r="D468" s="17" t="n"/>
      <c r="E468" s="17" t="n"/>
      <c r="F468" s="16" t="n"/>
      <c r="G468" s="16" t="n"/>
      <c r="H468" s="16" t="n"/>
      <c r="I468" s="16" t="n"/>
      <c r="J468" s="16" t="n"/>
      <c r="K468" s="16" t="n"/>
      <c r="L468" s="18">
        <f>IF(AND(D468="",E468=""),"",IFERROR(IF(F468&lt;&gt;"",F468,0)+IF(H468&lt;&gt;"",H468,0)+IF(J468&lt;&gt;"",J468,0),""))</f>
        <v/>
      </c>
      <c r="M468" s="18">
        <f>IF(AND(D468="",E468=""),"",IFERROR(IF(G468&lt;&gt;"",G468,0)+IF(I468&lt;&gt;"",I468,0)+IF(K468&lt;&gt;"",K468,0),""))</f>
        <v/>
      </c>
      <c r="N468" s="18">
        <f>IF(OR(L468="",M468=""),"",IF(L468&gt;M468,D468,IF(M468&gt;L468,E468,"Draw")))</f>
        <v/>
      </c>
      <c r="O468" s="18">
        <f>IF(AND(D468="",E468=""),"",IF(AND(L468&lt;&gt;"",M468&lt;&gt;""),"Completed","Scheduled"))</f>
        <v/>
      </c>
    </row>
    <row r="469">
      <c r="A469" s="15" t="n"/>
      <c r="B469" s="16" t="n"/>
      <c r="C469" s="16" t="n"/>
      <c r="D469" s="17" t="n"/>
      <c r="E469" s="17" t="n"/>
      <c r="F469" s="16" t="n"/>
      <c r="G469" s="16" t="n"/>
      <c r="H469" s="16" t="n"/>
      <c r="I469" s="16" t="n"/>
      <c r="J469" s="16" t="n"/>
      <c r="K469" s="16" t="n"/>
      <c r="L469" s="18">
        <f>IF(AND(D469="",E469=""),"",IFERROR(IF(F469&lt;&gt;"",F469,0)+IF(H469&lt;&gt;"",H469,0)+IF(J469&lt;&gt;"",J469,0),""))</f>
        <v/>
      </c>
      <c r="M469" s="18">
        <f>IF(AND(D469="",E469=""),"",IFERROR(IF(G469&lt;&gt;"",G469,0)+IF(I469&lt;&gt;"",I469,0)+IF(K469&lt;&gt;"",K469,0),""))</f>
        <v/>
      </c>
      <c r="N469" s="18">
        <f>IF(OR(L469="",M469=""),"",IF(L469&gt;M469,D469,IF(M469&gt;L469,E469,"Draw")))</f>
        <v/>
      </c>
      <c r="O469" s="18">
        <f>IF(AND(D469="",E469=""),"",IF(AND(L469&lt;&gt;"",M469&lt;&gt;""),"Completed","Scheduled"))</f>
        <v/>
      </c>
    </row>
    <row r="470">
      <c r="A470" s="15" t="n"/>
      <c r="B470" s="16" t="n"/>
      <c r="C470" s="16" t="n"/>
      <c r="D470" s="17" t="n"/>
      <c r="E470" s="17" t="n"/>
      <c r="F470" s="16" t="n"/>
      <c r="G470" s="16" t="n"/>
      <c r="H470" s="16" t="n"/>
      <c r="I470" s="16" t="n"/>
      <c r="J470" s="16" t="n"/>
      <c r="K470" s="16" t="n"/>
      <c r="L470" s="18">
        <f>IF(AND(D470="",E470=""),"",IFERROR(IF(F470&lt;&gt;"",F470,0)+IF(H470&lt;&gt;"",H470,0)+IF(J470&lt;&gt;"",J470,0),""))</f>
        <v/>
      </c>
      <c r="M470" s="18">
        <f>IF(AND(D470="",E470=""),"",IFERROR(IF(G470&lt;&gt;"",G470,0)+IF(I470&lt;&gt;"",I470,0)+IF(K470&lt;&gt;"",K470,0),""))</f>
        <v/>
      </c>
      <c r="N470" s="18">
        <f>IF(OR(L470="",M470=""),"",IF(L470&gt;M470,D470,IF(M470&gt;L470,E470,"Draw")))</f>
        <v/>
      </c>
      <c r="O470" s="18">
        <f>IF(AND(D470="",E470=""),"",IF(AND(L470&lt;&gt;"",M470&lt;&gt;""),"Completed","Scheduled"))</f>
        <v/>
      </c>
    </row>
    <row r="471">
      <c r="A471" s="15" t="n"/>
      <c r="B471" s="16" t="n"/>
      <c r="C471" s="16" t="n"/>
      <c r="D471" s="17" t="n"/>
      <c r="E471" s="17" t="n"/>
      <c r="F471" s="16" t="n"/>
      <c r="G471" s="16" t="n"/>
      <c r="H471" s="16" t="n"/>
      <c r="I471" s="16" t="n"/>
      <c r="J471" s="16" t="n"/>
      <c r="K471" s="16" t="n"/>
      <c r="L471" s="18">
        <f>IF(AND(D471="",E471=""),"",IFERROR(IF(F471&lt;&gt;"",F471,0)+IF(H471&lt;&gt;"",H471,0)+IF(J471&lt;&gt;"",J471,0),""))</f>
        <v/>
      </c>
      <c r="M471" s="18">
        <f>IF(AND(D471="",E471=""),"",IFERROR(IF(G471&lt;&gt;"",G471,0)+IF(I471&lt;&gt;"",I471,0)+IF(K471&lt;&gt;"",K471,0),""))</f>
        <v/>
      </c>
      <c r="N471" s="18">
        <f>IF(OR(L471="",M471=""),"",IF(L471&gt;M471,D471,IF(M471&gt;L471,E471,"Draw")))</f>
        <v/>
      </c>
      <c r="O471" s="18">
        <f>IF(AND(D471="",E471=""),"",IF(AND(L471&lt;&gt;"",M471&lt;&gt;""),"Completed","Scheduled"))</f>
        <v/>
      </c>
    </row>
    <row r="472">
      <c r="A472" s="15" t="n"/>
      <c r="B472" s="16" t="n"/>
      <c r="C472" s="16" t="n"/>
      <c r="D472" s="17" t="n"/>
      <c r="E472" s="17" t="n"/>
      <c r="F472" s="16" t="n"/>
      <c r="G472" s="16" t="n"/>
      <c r="H472" s="16" t="n"/>
      <c r="I472" s="16" t="n"/>
      <c r="J472" s="16" t="n"/>
      <c r="K472" s="16" t="n"/>
      <c r="L472" s="18">
        <f>IF(AND(D472="",E472=""),"",IFERROR(IF(F472&lt;&gt;"",F472,0)+IF(H472&lt;&gt;"",H472,0)+IF(J472&lt;&gt;"",J472,0),""))</f>
        <v/>
      </c>
      <c r="M472" s="18">
        <f>IF(AND(D472="",E472=""),"",IFERROR(IF(G472&lt;&gt;"",G472,0)+IF(I472&lt;&gt;"",I472,0)+IF(K472&lt;&gt;"",K472,0),""))</f>
        <v/>
      </c>
      <c r="N472" s="18">
        <f>IF(OR(L472="",M472=""),"",IF(L472&gt;M472,D472,IF(M472&gt;L472,E472,"Draw")))</f>
        <v/>
      </c>
      <c r="O472" s="18">
        <f>IF(AND(D472="",E472=""),"",IF(AND(L472&lt;&gt;"",M472&lt;&gt;""),"Completed","Scheduled"))</f>
        <v/>
      </c>
    </row>
    <row r="473">
      <c r="A473" s="15" t="n"/>
      <c r="B473" s="16" t="n"/>
      <c r="C473" s="16" t="n"/>
      <c r="D473" s="17" t="n"/>
      <c r="E473" s="17" t="n"/>
      <c r="F473" s="16" t="n"/>
      <c r="G473" s="16" t="n"/>
      <c r="H473" s="16" t="n"/>
      <c r="I473" s="16" t="n"/>
      <c r="J473" s="16" t="n"/>
      <c r="K473" s="16" t="n"/>
      <c r="L473" s="18">
        <f>IF(AND(D473="",E473=""),"",IFERROR(IF(F473&lt;&gt;"",F473,0)+IF(H473&lt;&gt;"",H473,0)+IF(J473&lt;&gt;"",J473,0),""))</f>
        <v/>
      </c>
      <c r="M473" s="18">
        <f>IF(AND(D473="",E473=""),"",IFERROR(IF(G473&lt;&gt;"",G473,0)+IF(I473&lt;&gt;"",I473,0)+IF(K473&lt;&gt;"",K473,0),""))</f>
        <v/>
      </c>
      <c r="N473" s="18">
        <f>IF(OR(L473="",M473=""),"",IF(L473&gt;M473,D473,IF(M473&gt;L473,E473,"Draw")))</f>
        <v/>
      </c>
      <c r="O473" s="18">
        <f>IF(AND(D473="",E473=""),"",IF(AND(L473&lt;&gt;"",M473&lt;&gt;""),"Completed","Scheduled"))</f>
        <v/>
      </c>
    </row>
    <row r="474">
      <c r="A474" s="15" t="n"/>
      <c r="B474" s="16" t="n"/>
      <c r="C474" s="16" t="n"/>
      <c r="D474" s="17" t="n"/>
      <c r="E474" s="17" t="n"/>
      <c r="F474" s="16" t="n"/>
      <c r="G474" s="16" t="n"/>
      <c r="H474" s="16" t="n"/>
      <c r="I474" s="16" t="n"/>
      <c r="J474" s="16" t="n"/>
      <c r="K474" s="16" t="n"/>
      <c r="L474" s="18">
        <f>IF(AND(D474="",E474=""),"",IFERROR(IF(F474&lt;&gt;"",F474,0)+IF(H474&lt;&gt;"",H474,0)+IF(J474&lt;&gt;"",J474,0),""))</f>
        <v/>
      </c>
      <c r="M474" s="18">
        <f>IF(AND(D474="",E474=""),"",IFERROR(IF(G474&lt;&gt;"",G474,0)+IF(I474&lt;&gt;"",I474,0)+IF(K474&lt;&gt;"",K474,0),""))</f>
        <v/>
      </c>
      <c r="N474" s="18">
        <f>IF(OR(L474="",M474=""),"",IF(L474&gt;M474,D474,IF(M474&gt;L474,E474,"Draw")))</f>
        <v/>
      </c>
      <c r="O474" s="18">
        <f>IF(AND(D474="",E474=""),"",IF(AND(L474&lt;&gt;"",M474&lt;&gt;""),"Completed","Scheduled"))</f>
        <v/>
      </c>
    </row>
    <row r="475">
      <c r="A475" s="15" t="n"/>
      <c r="B475" s="16" t="n"/>
      <c r="C475" s="16" t="n"/>
      <c r="D475" s="17" t="n"/>
      <c r="E475" s="17" t="n"/>
      <c r="F475" s="16" t="n"/>
      <c r="G475" s="16" t="n"/>
      <c r="H475" s="16" t="n"/>
      <c r="I475" s="16" t="n"/>
      <c r="J475" s="16" t="n"/>
      <c r="K475" s="16" t="n"/>
      <c r="L475" s="18">
        <f>IF(AND(D475="",E475=""),"",IFERROR(IF(F475&lt;&gt;"",F475,0)+IF(H475&lt;&gt;"",H475,0)+IF(J475&lt;&gt;"",J475,0),""))</f>
        <v/>
      </c>
      <c r="M475" s="18">
        <f>IF(AND(D475="",E475=""),"",IFERROR(IF(G475&lt;&gt;"",G475,0)+IF(I475&lt;&gt;"",I475,0)+IF(K475&lt;&gt;"",K475,0),""))</f>
        <v/>
      </c>
      <c r="N475" s="18">
        <f>IF(OR(L475="",M475=""),"",IF(L475&gt;M475,D475,IF(M475&gt;L475,E475,"Draw")))</f>
        <v/>
      </c>
      <c r="O475" s="18">
        <f>IF(AND(D475="",E475=""),"",IF(AND(L475&lt;&gt;"",M475&lt;&gt;""),"Completed","Scheduled"))</f>
        <v/>
      </c>
    </row>
    <row r="476">
      <c r="A476" s="15" t="n"/>
      <c r="B476" s="16" t="n"/>
      <c r="C476" s="16" t="n"/>
      <c r="D476" s="17" t="n"/>
      <c r="E476" s="17" t="n"/>
      <c r="F476" s="16" t="n"/>
      <c r="G476" s="16" t="n"/>
      <c r="H476" s="16" t="n"/>
      <c r="I476" s="16" t="n"/>
      <c r="J476" s="16" t="n"/>
      <c r="K476" s="16" t="n"/>
      <c r="L476" s="18">
        <f>IF(AND(D476="",E476=""),"",IFERROR(IF(F476&lt;&gt;"",F476,0)+IF(H476&lt;&gt;"",H476,0)+IF(J476&lt;&gt;"",J476,0),""))</f>
        <v/>
      </c>
      <c r="M476" s="18">
        <f>IF(AND(D476="",E476=""),"",IFERROR(IF(G476&lt;&gt;"",G476,0)+IF(I476&lt;&gt;"",I476,0)+IF(K476&lt;&gt;"",K476,0),""))</f>
        <v/>
      </c>
      <c r="N476" s="18">
        <f>IF(OR(L476="",M476=""),"",IF(L476&gt;M476,D476,IF(M476&gt;L476,E476,"Draw")))</f>
        <v/>
      </c>
      <c r="O476" s="18">
        <f>IF(AND(D476="",E476=""),"",IF(AND(L476&lt;&gt;"",M476&lt;&gt;""),"Completed","Scheduled"))</f>
        <v/>
      </c>
    </row>
    <row r="477">
      <c r="A477" s="15" t="n"/>
      <c r="B477" s="16" t="n"/>
      <c r="C477" s="16" t="n"/>
      <c r="D477" s="17" t="n"/>
      <c r="E477" s="17" t="n"/>
      <c r="F477" s="16" t="n"/>
      <c r="G477" s="16" t="n"/>
      <c r="H477" s="16" t="n"/>
      <c r="I477" s="16" t="n"/>
      <c r="J477" s="16" t="n"/>
      <c r="K477" s="16" t="n"/>
      <c r="L477" s="18">
        <f>IF(AND(D477="",E477=""),"",IFERROR(IF(F477&lt;&gt;"",F477,0)+IF(H477&lt;&gt;"",H477,0)+IF(J477&lt;&gt;"",J477,0),""))</f>
        <v/>
      </c>
      <c r="M477" s="18">
        <f>IF(AND(D477="",E477=""),"",IFERROR(IF(G477&lt;&gt;"",G477,0)+IF(I477&lt;&gt;"",I477,0)+IF(K477&lt;&gt;"",K477,0),""))</f>
        <v/>
      </c>
      <c r="N477" s="18">
        <f>IF(OR(L477="",M477=""),"",IF(L477&gt;M477,D477,IF(M477&gt;L477,E477,"Draw")))</f>
        <v/>
      </c>
      <c r="O477" s="18">
        <f>IF(AND(D477="",E477=""),"",IF(AND(L477&lt;&gt;"",M477&lt;&gt;""),"Completed","Scheduled"))</f>
        <v/>
      </c>
    </row>
    <row r="478">
      <c r="A478" s="15" t="n"/>
      <c r="B478" s="16" t="n"/>
      <c r="C478" s="16" t="n"/>
      <c r="D478" s="17" t="n"/>
      <c r="E478" s="17" t="n"/>
      <c r="F478" s="16" t="n"/>
      <c r="G478" s="16" t="n"/>
      <c r="H478" s="16" t="n"/>
      <c r="I478" s="16" t="n"/>
      <c r="J478" s="16" t="n"/>
      <c r="K478" s="16" t="n"/>
      <c r="L478" s="18">
        <f>IF(AND(D478="",E478=""),"",IFERROR(IF(F478&lt;&gt;"",F478,0)+IF(H478&lt;&gt;"",H478,0)+IF(J478&lt;&gt;"",J478,0),""))</f>
        <v/>
      </c>
      <c r="M478" s="18">
        <f>IF(AND(D478="",E478=""),"",IFERROR(IF(G478&lt;&gt;"",G478,0)+IF(I478&lt;&gt;"",I478,0)+IF(K478&lt;&gt;"",K478,0),""))</f>
        <v/>
      </c>
      <c r="N478" s="18">
        <f>IF(OR(L478="",M478=""),"",IF(L478&gt;M478,D478,IF(M478&gt;L478,E478,"Draw")))</f>
        <v/>
      </c>
      <c r="O478" s="18">
        <f>IF(AND(D478="",E478=""),"",IF(AND(L478&lt;&gt;"",M478&lt;&gt;""),"Completed","Scheduled"))</f>
        <v/>
      </c>
    </row>
    <row r="479">
      <c r="A479" s="15" t="n"/>
      <c r="B479" s="16" t="n"/>
      <c r="C479" s="16" t="n"/>
      <c r="D479" s="17" t="n"/>
      <c r="E479" s="17" t="n"/>
      <c r="F479" s="16" t="n"/>
      <c r="G479" s="16" t="n"/>
      <c r="H479" s="16" t="n"/>
      <c r="I479" s="16" t="n"/>
      <c r="J479" s="16" t="n"/>
      <c r="K479" s="16" t="n"/>
      <c r="L479" s="18">
        <f>IF(AND(D479="",E479=""),"",IFERROR(IF(F479&lt;&gt;"",F479,0)+IF(H479&lt;&gt;"",H479,0)+IF(J479&lt;&gt;"",J479,0),""))</f>
        <v/>
      </c>
      <c r="M479" s="18">
        <f>IF(AND(D479="",E479=""),"",IFERROR(IF(G479&lt;&gt;"",G479,0)+IF(I479&lt;&gt;"",I479,0)+IF(K479&lt;&gt;"",K479,0),""))</f>
        <v/>
      </c>
      <c r="N479" s="18">
        <f>IF(OR(L479="",M479=""),"",IF(L479&gt;M479,D479,IF(M479&gt;L479,E479,"Draw")))</f>
        <v/>
      </c>
      <c r="O479" s="18">
        <f>IF(AND(D479="",E479=""),"",IF(AND(L479&lt;&gt;"",M479&lt;&gt;""),"Completed","Scheduled"))</f>
        <v/>
      </c>
    </row>
    <row r="480">
      <c r="A480" s="15" t="n"/>
      <c r="B480" s="16" t="n"/>
      <c r="C480" s="16" t="n"/>
      <c r="D480" s="17" t="n"/>
      <c r="E480" s="17" t="n"/>
      <c r="F480" s="16" t="n"/>
      <c r="G480" s="16" t="n"/>
      <c r="H480" s="16" t="n"/>
      <c r="I480" s="16" t="n"/>
      <c r="J480" s="16" t="n"/>
      <c r="K480" s="16" t="n"/>
      <c r="L480" s="18">
        <f>IF(AND(D480="",E480=""),"",IFERROR(IF(F480&lt;&gt;"",F480,0)+IF(H480&lt;&gt;"",H480,0)+IF(J480&lt;&gt;"",J480,0),""))</f>
        <v/>
      </c>
      <c r="M480" s="18">
        <f>IF(AND(D480="",E480=""),"",IFERROR(IF(G480&lt;&gt;"",G480,0)+IF(I480&lt;&gt;"",I480,0)+IF(K480&lt;&gt;"",K480,0),""))</f>
        <v/>
      </c>
      <c r="N480" s="18">
        <f>IF(OR(L480="",M480=""),"",IF(L480&gt;M480,D480,IF(M480&gt;L480,E480,"Draw")))</f>
        <v/>
      </c>
      <c r="O480" s="18">
        <f>IF(AND(D480="",E480=""),"",IF(AND(L480&lt;&gt;"",M480&lt;&gt;""),"Completed","Scheduled"))</f>
        <v/>
      </c>
    </row>
    <row r="481">
      <c r="A481" s="15" t="n"/>
      <c r="B481" s="16" t="n"/>
      <c r="C481" s="16" t="n"/>
      <c r="D481" s="17" t="n"/>
      <c r="E481" s="17" t="n"/>
      <c r="F481" s="16" t="n"/>
      <c r="G481" s="16" t="n"/>
      <c r="H481" s="16" t="n"/>
      <c r="I481" s="16" t="n"/>
      <c r="J481" s="16" t="n"/>
      <c r="K481" s="16" t="n"/>
      <c r="L481" s="18">
        <f>IF(AND(D481="",E481=""),"",IFERROR(IF(F481&lt;&gt;"",F481,0)+IF(H481&lt;&gt;"",H481,0)+IF(J481&lt;&gt;"",J481,0),""))</f>
        <v/>
      </c>
      <c r="M481" s="18">
        <f>IF(AND(D481="",E481=""),"",IFERROR(IF(G481&lt;&gt;"",G481,0)+IF(I481&lt;&gt;"",I481,0)+IF(K481&lt;&gt;"",K481,0),""))</f>
        <v/>
      </c>
      <c r="N481" s="18">
        <f>IF(OR(L481="",M481=""),"",IF(L481&gt;M481,D481,IF(M481&gt;L481,E481,"Draw")))</f>
        <v/>
      </c>
      <c r="O481" s="18">
        <f>IF(AND(D481="",E481=""),"",IF(AND(L481&lt;&gt;"",M481&lt;&gt;""),"Completed","Scheduled"))</f>
        <v/>
      </c>
    </row>
    <row r="482">
      <c r="A482" s="15" t="n"/>
      <c r="B482" s="16" t="n"/>
      <c r="C482" s="16" t="n"/>
      <c r="D482" s="17" t="n"/>
      <c r="E482" s="17" t="n"/>
      <c r="F482" s="16" t="n"/>
      <c r="G482" s="16" t="n"/>
      <c r="H482" s="16" t="n"/>
      <c r="I482" s="16" t="n"/>
      <c r="J482" s="16" t="n"/>
      <c r="K482" s="16" t="n"/>
      <c r="L482" s="18">
        <f>IF(AND(D482="",E482=""),"",IFERROR(IF(F482&lt;&gt;"",F482,0)+IF(H482&lt;&gt;"",H482,0)+IF(J482&lt;&gt;"",J482,0),""))</f>
        <v/>
      </c>
      <c r="M482" s="18">
        <f>IF(AND(D482="",E482=""),"",IFERROR(IF(G482&lt;&gt;"",G482,0)+IF(I482&lt;&gt;"",I482,0)+IF(K482&lt;&gt;"",K482,0),""))</f>
        <v/>
      </c>
      <c r="N482" s="18">
        <f>IF(OR(L482="",M482=""),"",IF(L482&gt;M482,D482,IF(M482&gt;L482,E482,"Draw")))</f>
        <v/>
      </c>
      <c r="O482" s="18">
        <f>IF(AND(D482="",E482=""),"",IF(AND(L482&lt;&gt;"",M482&lt;&gt;""),"Completed","Scheduled"))</f>
        <v/>
      </c>
    </row>
    <row r="483">
      <c r="A483" s="15" t="n"/>
      <c r="B483" s="16" t="n"/>
      <c r="C483" s="16" t="n"/>
      <c r="D483" s="17" t="n"/>
      <c r="E483" s="17" t="n"/>
      <c r="F483" s="16" t="n"/>
      <c r="G483" s="16" t="n"/>
      <c r="H483" s="16" t="n"/>
      <c r="I483" s="16" t="n"/>
      <c r="J483" s="16" t="n"/>
      <c r="K483" s="16" t="n"/>
      <c r="L483" s="18">
        <f>IF(AND(D483="",E483=""),"",IFERROR(IF(F483&lt;&gt;"",F483,0)+IF(H483&lt;&gt;"",H483,0)+IF(J483&lt;&gt;"",J483,0),""))</f>
        <v/>
      </c>
      <c r="M483" s="18">
        <f>IF(AND(D483="",E483=""),"",IFERROR(IF(G483&lt;&gt;"",G483,0)+IF(I483&lt;&gt;"",I483,0)+IF(K483&lt;&gt;"",K483,0),""))</f>
        <v/>
      </c>
      <c r="N483" s="18">
        <f>IF(OR(L483="",M483=""),"",IF(L483&gt;M483,D483,IF(M483&gt;L483,E483,"Draw")))</f>
        <v/>
      </c>
      <c r="O483" s="18">
        <f>IF(AND(D483="",E483=""),"",IF(AND(L483&lt;&gt;"",M483&lt;&gt;""),"Completed","Scheduled"))</f>
        <v/>
      </c>
    </row>
    <row r="484">
      <c r="A484" s="15" t="n"/>
      <c r="B484" s="16" t="n"/>
      <c r="C484" s="16" t="n"/>
      <c r="D484" s="17" t="n"/>
      <c r="E484" s="17" t="n"/>
      <c r="F484" s="16" t="n"/>
      <c r="G484" s="16" t="n"/>
      <c r="H484" s="16" t="n"/>
      <c r="I484" s="16" t="n"/>
      <c r="J484" s="16" t="n"/>
      <c r="K484" s="16" t="n"/>
      <c r="L484" s="18">
        <f>IF(AND(D484="",E484=""),"",IFERROR(IF(F484&lt;&gt;"",F484,0)+IF(H484&lt;&gt;"",H484,0)+IF(J484&lt;&gt;"",J484,0),""))</f>
        <v/>
      </c>
      <c r="M484" s="18">
        <f>IF(AND(D484="",E484=""),"",IFERROR(IF(G484&lt;&gt;"",G484,0)+IF(I484&lt;&gt;"",I484,0)+IF(K484&lt;&gt;"",K484,0),""))</f>
        <v/>
      </c>
      <c r="N484" s="18">
        <f>IF(OR(L484="",M484=""),"",IF(L484&gt;M484,D484,IF(M484&gt;L484,E484,"Draw")))</f>
        <v/>
      </c>
      <c r="O484" s="18">
        <f>IF(AND(D484="",E484=""),"",IF(AND(L484&lt;&gt;"",M484&lt;&gt;""),"Completed","Scheduled"))</f>
        <v/>
      </c>
    </row>
    <row r="485">
      <c r="A485" s="15" t="n"/>
      <c r="B485" s="16" t="n"/>
      <c r="C485" s="16" t="n"/>
      <c r="D485" s="17" t="n"/>
      <c r="E485" s="17" t="n"/>
      <c r="F485" s="16" t="n"/>
      <c r="G485" s="16" t="n"/>
      <c r="H485" s="16" t="n"/>
      <c r="I485" s="16" t="n"/>
      <c r="J485" s="16" t="n"/>
      <c r="K485" s="16" t="n"/>
      <c r="L485" s="18">
        <f>IF(AND(D485="",E485=""),"",IFERROR(IF(F485&lt;&gt;"",F485,0)+IF(H485&lt;&gt;"",H485,0)+IF(J485&lt;&gt;"",J485,0),""))</f>
        <v/>
      </c>
      <c r="M485" s="18">
        <f>IF(AND(D485="",E485=""),"",IFERROR(IF(G485&lt;&gt;"",G485,0)+IF(I485&lt;&gt;"",I485,0)+IF(K485&lt;&gt;"",K485,0),""))</f>
        <v/>
      </c>
      <c r="N485" s="18">
        <f>IF(OR(L485="",M485=""),"",IF(L485&gt;M485,D485,IF(M485&gt;L485,E485,"Draw")))</f>
        <v/>
      </c>
      <c r="O485" s="18">
        <f>IF(AND(D485="",E485=""),"",IF(AND(L485&lt;&gt;"",M485&lt;&gt;""),"Completed","Scheduled"))</f>
        <v/>
      </c>
    </row>
    <row r="486">
      <c r="A486" s="15" t="n"/>
      <c r="B486" s="16" t="n"/>
      <c r="C486" s="16" t="n"/>
      <c r="D486" s="17" t="n"/>
      <c r="E486" s="17" t="n"/>
      <c r="F486" s="16" t="n"/>
      <c r="G486" s="16" t="n"/>
      <c r="H486" s="16" t="n"/>
      <c r="I486" s="16" t="n"/>
      <c r="J486" s="16" t="n"/>
      <c r="K486" s="16" t="n"/>
      <c r="L486" s="18">
        <f>IF(AND(D486="",E486=""),"",IFERROR(IF(F486&lt;&gt;"",F486,0)+IF(H486&lt;&gt;"",H486,0)+IF(J486&lt;&gt;"",J486,0),""))</f>
        <v/>
      </c>
      <c r="M486" s="18">
        <f>IF(AND(D486="",E486=""),"",IFERROR(IF(G486&lt;&gt;"",G486,0)+IF(I486&lt;&gt;"",I486,0)+IF(K486&lt;&gt;"",K486,0),""))</f>
        <v/>
      </c>
      <c r="N486" s="18">
        <f>IF(OR(L486="",M486=""),"",IF(L486&gt;M486,D486,IF(M486&gt;L486,E486,"Draw")))</f>
        <v/>
      </c>
      <c r="O486" s="18">
        <f>IF(AND(D486="",E486=""),"",IF(AND(L486&lt;&gt;"",M486&lt;&gt;""),"Completed","Scheduled"))</f>
        <v/>
      </c>
    </row>
    <row r="487">
      <c r="A487" s="15" t="n"/>
      <c r="B487" s="16" t="n"/>
      <c r="C487" s="16" t="n"/>
      <c r="D487" s="17" t="n"/>
      <c r="E487" s="17" t="n"/>
      <c r="F487" s="16" t="n"/>
      <c r="G487" s="16" t="n"/>
      <c r="H487" s="16" t="n"/>
      <c r="I487" s="16" t="n"/>
      <c r="J487" s="16" t="n"/>
      <c r="K487" s="16" t="n"/>
      <c r="L487" s="18">
        <f>IF(AND(D487="",E487=""),"",IFERROR(IF(F487&lt;&gt;"",F487,0)+IF(H487&lt;&gt;"",H487,0)+IF(J487&lt;&gt;"",J487,0),""))</f>
        <v/>
      </c>
      <c r="M487" s="18">
        <f>IF(AND(D487="",E487=""),"",IFERROR(IF(G487&lt;&gt;"",G487,0)+IF(I487&lt;&gt;"",I487,0)+IF(K487&lt;&gt;"",K487,0),""))</f>
        <v/>
      </c>
      <c r="N487" s="18">
        <f>IF(OR(L487="",M487=""),"",IF(L487&gt;M487,D487,IF(M487&gt;L487,E487,"Draw")))</f>
        <v/>
      </c>
      <c r="O487" s="18">
        <f>IF(AND(D487="",E487=""),"",IF(AND(L487&lt;&gt;"",M487&lt;&gt;""),"Completed","Scheduled"))</f>
        <v/>
      </c>
    </row>
    <row r="488">
      <c r="A488" s="15" t="n"/>
      <c r="B488" s="16" t="n"/>
      <c r="C488" s="16" t="n"/>
      <c r="D488" s="17" t="n"/>
      <c r="E488" s="17" t="n"/>
      <c r="F488" s="16" t="n"/>
      <c r="G488" s="16" t="n"/>
      <c r="H488" s="16" t="n"/>
      <c r="I488" s="16" t="n"/>
      <c r="J488" s="16" t="n"/>
      <c r="K488" s="16" t="n"/>
      <c r="L488" s="18">
        <f>IF(AND(D488="",E488=""),"",IFERROR(IF(F488&lt;&gt;"",F488,0)+IF(H488&lt;&gt;"",H488,0)+IF(J488&lt;&gt;"",J488,0),""))</f>
        <v/>
      </c>
      <c r="M488" s="18">
        <f>IF(AND(D488="",E488=""),"",IFERROR(IF(G488&lt;&gt;"",G488,0)+IF(I488&lt;&gt;"",I488,0)+IF(K488&lt;&gt;"",K488,0),""))</f>
        <v/>
      </c>
      <c r="N488" s="18">
        <f>IF(OR(L488="",M488=""),"",IF(L488&gt;M488,D488,IF(M488&gt;L488,E488,"Draw")))</f>
        <v/>
      </c>
      <c r="O488" s="18">
        <f>IF(AND(D488="",E488=""),"",IF(AND(L488&lt;&gt;"",M488&lt;&gt;""),"Completed","Scheduled"))</f>
        <v/>
      </c>
    </row>
    <row r="489">
      <c r="A489" s="15" t="n"/>
      <c r="B489" s="16" t="n"/>
      <c r="C489" s="16" t="n"/>
      <c r="D489" s="17" t="n"/>
      <c r="E489" s="17" t="n"/>
      <c r="F489" s="16" t="n"/>
      <c r="G489" s="16" t="n"/>
      <c r="H489" s="16" t="n"/>
      <c r="I489" s="16" t="n"/>
      <c r="J489" s="16" t="n"/>
      <c r="K489" s="16" t="n"/>
      <c r="L489" s="18">
        <f>IF(AND(D489="",E489=""),"",IFERROR(IF(F489&lt;&gt;"",F489,0)+IF(H489&lt;&gt;"",H489,0)+IF(J489&lt;&gt;"",J489,0),""))</f>
        <v/>
      </c>
      <c r="M489" s="18">
        <f>IF(AND(D489="",E489=""),"",IFERROR(IF(G489&lt;&gt;"",G489,0)+IF(I489&lt;&gt;"",I489,0)+IF(K489&lt;&gt;"",K489,0),""))</f>
        <v/>
      </c>
      <c r="N489" s="18">
        <f>IF(OR(L489="",M489=""),"",IF(L489&gt;M489,D489,IF(M489&gt;L489,E489,"Draw")))</f>
        <v/>
      </c>
      <c r="O489" s="18">
        <f>IF(AND(D489="",E489=""),"",IF(AND(L489&lt;&gt;"",M489&lt;&gt;""),"Completed","Scheduled"))</f>
        <v/>
      </c>
    </row>
    <row r="490">
      <c r="A490" s="15" t="n"/>
      <c r="B490" s="16" t="n"/>
      <c r="C490" s="16" t="n"/>
      <c r="D490" s="17" t="n"/>
      <c r="E490" s="17" t="n"/>
      <c r="F490" s="16" t="n"/>
      <c r="G490" s="16" t="n"/>
      <c r="H490" s="16" t="n"/>
      <c r="I490" s="16" t="n"/>
      <c r="J490" s="16" t="n"/>
      <c r="K490" s="16" t="n"/>
      <c r="L490" s="18">
        <f>IF(AND(D490="",E490=""),"",IFERROR(IF(F490&lt;&gt;"",F490,0)+IF(H490&lt;&gt;"",H490,0)+IF(J490&lt;&gt;"",J490,0),""))</f>
        <v/>
      </c>
      <c r="M490" s="18">
        <f>IF(AND(D490="",E490=""),"",IFERROR(IF(G490&lt;&gt;"",G490,0)+IF(I490&lt;&gt;"",I490,0)+IF(K490&lt;&gt;"",K490,0),""))</f>
        <v/>
      </c>
      <c r="N490" s="18">
        <f>IF(OR(L490="",M490=""),"",IF(L490&gt;M490,D490,IF(M490&gt;L490,E490,"Draw")))</f>
        <v/>
      </c>
      <c r="O490" s="18">
        <f>IF(AND(D490="",E490=""),"",IF(AND(L490&lt;&gt;"",M490&lt;&gt;""),"Completed","Scheduled"))</f>
        <v/>
      </c>
    </row>
    <row r="491">
      <c r="A491" s="15" t="n"/>
      <c r="B491" s="16" t="n"/>
      <c r="C491" s="16" t="n"/>
      <c r="D491" s="17" t="n"/>
      <c r="E491" s="17" t="n"/>
      <c r="F491" s="16" t="n"/>
      <c r="G491" s="16" t="n"/>
      <c r="H491" s="16" t="n"/>
      <c r="I491" s="16" t="n"/>
      <c r="J491" s="16" t="n"/>
      <c r="K491" s="16" t="n"/>
      <c r="L491" s="18">
        <f>IF(AND(D491="",E491=""),"",IFERROR(IF(F491&lt;&gt;"",F491,0)+IF(H491&lt;&gt;"",H491,0)+IF(J491&lt;&gt;"",J491,0),""))</f>
        <v/>
      </c>
      <c r="M491" s="18">
        <f>IF(AND(D491="",E491=""),"",IFERROR(IF(G491&lt;&gt;"",G491,0)+IF(I491&lt;&gt;"",I491,0)+IF(K491&lt;&gt;"",K491,0),""))</f>
        <v/>
      </c>
      <c r="N491" s="18">
        <f>IF(OR(L491="",M491=""),"",IF(L491&gt;M491,D491,IF(M491&gt;L491,E491,"Draw")))</f>
        <v/>
      </c>
      <c r="O491" s="18">
        <f>IF(AND(D491="",E491=""),"",IF(AND(L491&lt;&gt;"",M491&lt;&gt;""),"Completed","Scheduled"))</f>
        <v/>
      </c>
    </row>
    <row r="492">
      <c r="A492" s="15" t="n"/>
      <c r="B492" s="16" t="n"/>
      <c r="C492" s="16" t="n"/>
      <c r="D492" s="17" t="n"/>
      <c r="E492" s="17" t="n"/>
      <c r="F492" s="16" t="n"/>
      <c r="G492" s="16" t="n"/>
      <c r="H492" s="16" t="n"/>
      <c r="I492" s="16" t="n"/>
      <c r="J492" s="16" t="n"/>
      <c r="K492" s="16" t="n"/>
      <c r="L492" s="18">
        <f>IF(AND(D492="",E492=""),"",IFERROR(IF(F492&lt;&gt;"",F492,0)+IF(H492&lt;&gt;"",H492,0)+IF(J492&lt;&gt;"",J492,0),""))</f>
        <v/>
      </c>
      <c r="M492" s="18">
        <f>IF(AND(D492="",E492=""),"",IFERROR(IF(G492&lt;&gt;"",G492,0)+IF(I492&lt;&gt;"",I492,0)+IF(K492&lt;&gt;"",K492,0),""))</f>
        <v/>
      </c>
      <c r="N492" s="18">
        <f>IF(OR(L492="",M492=""),"",IF(L492&gt;M492,D492,IF(M492&gt;L492,E492,"Draw")))</f>
        <v/>
      </c>
      <c r="O492" s="18">
        <f>IF(AND(D492="",E492=""),"",IF(AND(L492&lt;&gt;"",M492&lt;&gt;""),"Completed","Scheduled"))</f>
        <v/>
      </c>
    </row>
    <row r="493">
      <c r="A493" s="15" t="n"/>
      <c r="B493" s="16" t="n"/>
      <c r="C493" s="16" t="n"/>
      <c r="D493" s="17" t="n"/>
      <c r="E493" s="17" t="n"/>
      <c r="F493" s="16" t="n"/>
      <c r="G493" s="16" t="n"/>
      <c r="H493" s="16" t="n"/>
      <c r="I493" s="16" t="n"/>
      <c r="J493" s="16" t="n"/>
      <c r="K493" s="16" t="n"/>
      <c r="L493" s="18">
        <f>IF(AND(D493="",E493=""),"",IFERROR(IF(F493&lt;&gt;"",F493,0)+IF(H493&lt;&gt;"",H493,0)+IF(J493&lt;&gt;"",J493,0),""))</f>
        <v/>
      </c>
      <c r="M493" s="18">
        <f>IF(AND(D493="",E493=""),"",IFERROR(IF(G493&lt;&gt;"",G493,0)+IF(I493&lt;&gt;"",I493,0)+IF(K493&lt;&gt;"",K493,0),""))</f>
        <v/>
      </c>
      <c r="N493" s="18">
        <f>IF(OR(L493="",M493=""),"",IF(L493&gt;M493,D493,IF(M493&gt;L493,E493,"Draw")))</f>
        <v/>
      </c>
      <c r="O493" s="18">
        <f>IF(AND(D493="",E493=""),"",IF(AND(L493&lt;&gt;"",M493&lt;&gt;""),"Completed","Scheduled"))</f>
        <v/>
      </c>
    </row>
    <row r="494">
      <c r="A494" s="15" t="n"/>
      <c r="B494" s="16" t="n"/>
      <c r="C494" s="16" t="n"/>
      <c r="D494" s="17" t="n"/>
      <c r="E494" s="17" t="n"/>
      <c r="F494" s="16" t="n"/>
      <c r="G494" s="16" t="n"/>
      <c r="H494" s="16" t="n"/>
      <c r="I494" s="16" t="n"/>
      <c r="J494" s="16" t="n"/>
      <c r="K494" s="16" t="n"/>
      <c r="L494" s="18">
        <f>IF(AND(D494="",E494=""),"",IFERROR(IF(F494&lt;&gt;"",F494,0)+IF(H494&lt;&gt;"",H494,0)+IF(J494&lt;&gt;"",J494,0),""))</f>
        <v/>
      </c>
      <c r="M494" s="18">
        <f>IF(AND(D494="",E494=""),"",IFERROR(IF(G494&lt;&gt;"",G494,0)+IF(I494&lt;&gt;"",I494,0)+IF(K494&lt;&gt;"",K494,0),""))</f>
        <v/>
      </c>
      <c r="N494" s="18">
        <f>IF(OR(L494="",M494=""),"",IF(L494&gt;M494,D494,IF(M494&gt;L494,E494,"Draw")))</f>
        <v/>
      </c>
      <c r="O494" s="18">
        <f>IF(AND(D494="",E494=""),"",IF(AND(L494&lt;&gt;"",M494&lt;&gt;""),"Completed","Scheduled"))</f>
        <v/>
      </c>
    </row>
    <row r="495">
      <c r="A495" s="15" t="n"/>
      <c r="B495" s="16" t="n"/>
      <c r="C495" s="16" t="n"/>
      <c r="D495" s="17" t="n"/>
      <c r="E495" s="17" t="n"/>
      <c r="F495" s="16" t="n"/>
      <c r="G495" s="16" t="n"/>
      <c r="H495" s="16" t="n"/>
      <c r="I495" s="16" t="n"/>
      <c r="J495" s="16" t="n"/>
      <c r="K495" s="16" t="n"/>
      <c r="L495" s="18">
        <f>IF(AND(D495="",E495=""),"",IFERROR(IF(F495&lt;&gt;"",F495,0)+IF(H495&lt;&gt;"",H495,0)+IF(J495&lt;&gt;"",J495,0),""))</f>
        <v/>
      </c>
      <c r="M495" s="18">
        <f>IF(AND(D495="",E495=""),"",IFERROR(IF(G495&lt;&gt;"",G495,0)+IF(I495&lt;&gt;"",I495,0)+IF(K495&lt;&gt;"",K495,0),""))</f>
        <v/>
      </c>
      <c r="N495" s="18">
        <f>IF(OR(L495="",M495=""),"",IF(L495&gt;M495,D495,IF(M495&gt;L495,E495,"Draw")))</f>
        <v/>
      </c>
      <c r="O495" s="18">
        <f>IF(AND(D495="",E495=""),"",IF(AND(L495&lt;&gt;"",M495&lt;&gt;""),"Completed","Scheduled"))</f>
        <v/>
      </c>
    </row>
    <row r="496">
      <c r="A496" s="15" t="n"/>
      <c r="B496" s="16" t="n"/>
      <c r="C496" s="16" t="n"/>
      <c r="D496" s="17" t="n"/>
      <c r="E496" s="17" t="n"/>
      <c r="F496" s="16" t="n"/>
      <c r="G496" s="16" t="n"/>
      <c r="H496" s="16" t="n"/>
      <c r="I496" s="16" t="n"/>
      <c r="J496" s="16" t="n"/>
      <c r="K496" s="16" t="n"/>
      <c r="L496" s="18">
        <f>IF(AND(D496="",E496=""),"",IFERROR(IF(F496&lt;&gt;"",F496,0)+IF(H496&lt;&gt;"",H496,0)+IF(J496&lt;&gt;"",J496,0),""))</f>
        <v/>
      </c>
      <c r="M496" s="18">
        <f>IF(AND(D496="",E496=""),"",IFERROR(IF(G496&lt;&gt;"",G496,0)+IF(I496&lt;&gt;"",I496,0)+IF(K496&lt;&gt;"",K496,0),""))</f>
        <v/>
      </c>
      <c r="N496" s="18">
        <f>IF(OR(L496="",M496=""),"",IF(L496&gt;M496,D496,IF(M496&gt;L496,E496,"Draw")))</f>
        <v/>
      </c>
      <c r="O496" s="18">
        <f>IF(AND(D496="",E496=""),"",IF(AND(L496&lt;&gt;"",M496&lt;&gt;""),"Completed","Scheduled"))</f>
        <v/>
      </c>
    </row>
    <row r="497">
      <c r="A497" s="15" t="n"/>
      <c r="B497" s="16" t="n"/>
      <c r="C497" s="16" t="n"/>
      <c r="D497" s="17" t="n"/>
      <c r="E497" s="17" t="n"/>
      <c r="F497" s="16" t="n"/>
      <c r="G497" s="16" t="n"/>
      <c r="H497" s="16" t="n"/>
      <c r="I497" s="16" t="n"/>
      <c r="J497" s="16" t="n"/>
      <c r="K497" s="16" t="n"/>
      <c r="L497" s="18">
        <f>IF(AND(D497="",E497=""),"",IFERROR(IF(F497&lt;&gt;"",F497,0)+IF(H497&lt;&gt;"",H497,0)+IF(J497&lt;&gt;"",J497,0),""))</f>
        <v/>
      </c>
      <c r="M497" s="18">
        <f>IF(AND(D497="",E497=""),"",IFERROR(IF(G497&lt;&gt;"",G497,0)+IF(I497&lt;&gt;"",I497,0)+IF(K497&lt;&gt;"",K497,0),""))</f>
        <v/>
      </c>
      <c r="N497" s="18">
        <f>IF(OR(L497="",M497=""),"",IF(L497&gt;M497,D497,IF(M497&gt;L497,E497,"Draw")))</f>
        <v/>
      </c>
      <c r="O497" s="18">
        <f>IF(AND(D497="",E497=""),"",IF(AND(L497&lt;&gt;"",M497&lt;&gt;""),"Completed","Scheduled"))</f>
        <v/>
      </c>
    </row>
    <row r="498">
      <c r="A498" s="15" t="n"/>
      <c r="B498" s="16" t="n"/>
      <c r="C498" s="16" t="n"/>
      <c r="D498" s="17" t="n"/>
      <c r="E498" s="17" t="n"/>
      <c r="F498" s="16" t="n"/>
      <c r="G498" s="16" t="n"/>
      <c r="H498" s="16" t="n"/>
      <c r="I498" s="16" t="n"/>
      <c r="J498" s="16" t="n"/>
      <c r="K498" s="16" t="n"/>
      <c r="L498" s="18">
        <f>IF(AND(D498="",E498=""),"",IFERROR(IF(F498&lt;&gt;"",F498,0)+IF(H498&lt;&gt;"",H498,0)+IF(J498&lt;&gt;"",J498,0),""))</f>
        <v/>
      </c>
      <c r="M498" s="18">
        <f>IF(AND(D498="",E498=""),"",IFERROR(IF(G498&lt;&gt;"",G498,0)+IF(I498&lt;&gt;"",I498,0)+IF(K498&lt;&gt;"",K498,0),""))</f>
        <v/>
      </c>
      <c r="N498" s="18">
        <f>IF(OR(L498="",M498=""),"",IF(L498&gt;M498,D498,IF(M498&gt;L498,E498,"Draw")))</f>
        <v/>
      </c>
      <c r="O498" s="18">
        <f>IF(AND(D498="",E498=""),"",IF(AND(L498&lt;&gt;"",M498&lt;&gt;""),"Completed","Scheduled"))</f>
        <v/>
      </c>
    </row>
    <row r="499">
      <c r="A499" s="15" t="n"/>
      <c r="B499" s="16" t="n"/>
      <c r="C499" s="16" t="n"/>
      <c r="D499" s="17" t="n"/>
      <c r="E499" s="17" t="n"/>
      <c r="F499" s="16" t="n"/>
      <c r="G499" s="16" t="n"/>
      <c r="H499" s="16" t="n"/>
      <c r="I499" s="16" t="n"/>
      <c r="J499" s="16" t="n"/>
      <c r="K499" s="16" t="n"/>
      <c r="L499" s="18">
        <f>IF(AND(D499="",E499=""),"",IFERROR(IF(F499&lt;&gt;"",F499,0)+IF(H499&lt;&gt;"",H499,0)+IF(J499&lt;&gt;"",J499,0),""))</f>
        <v/>
      </c>
      <c r="M499" s="18">
        <f>IF(AND(D499="",E499=""),"",IFERROR(IF(G499&lt;&gt;"",G499,0)+IF(I499&lt;&gt;"",I499,0)+IF(K499&lt;&gt;"",K499,0),""))</f>
        <v/>
      </c>
      <c r="N499" s="18">
        <f>IF(OR(L499="",M499=""),"",IF(L499&gt;M499,D499,IF(M499&gt;L499,E499,"Draw")))</f>
        <v/>
      </c>
      <c r="O499" s="18">
        <f>IF(AND(D499="",E499=""),"",IF(AND(L499&lt;&gt;"",M499&lt;&gt;""),"Completed","Scheduled"))</f>
        <v/>
      </c>
    </row>
    <row r="500">
      <c r="A500" s="15" t="n"/>
      <c r="B500" s="16" t="n"/>
      <c r="C500" s="16" t="n"/>
      <c r="D500" s="17" t="n"/>
      <c r="E500" s="17" t="n"/>
      <c r="F500" s="16" t="n"/>
      <c r="G500" s="16" t="n"/>
      <c r="H500" s="16" t="n"/>
      <c r="I500" s="16" t="n"/>
      <c r="J500" s="16" t="n"/>
      <c r="K500" s="16" t="n"/>
      <c r="L500" s="18">
        <f>IF(AND(D500="",E500=""),"",IFERROR(IF(F500&lt;&gt;"",F500,0)+IF(H500&lt;&gt;"",H500,0)+IF(J500&lt;&gt;"",J500,0),""))</f>
        <v/>
      </c>
      <c r="M500" s="18">
        <f>IF(AND(D500="",E500=""),"",IFERROR(IF(G500&lt;&gt;"",G500,0)+IF(I500&lt;&gt;"",I500,0)+IF(K500&lt;&gt;"",K500,0),""))</f>
        <v/>
      </c>
      <c r="N500" s="18">
        <f>IF(OR(L500="",M500=""),"",IF(L500&gt;M500,D500,IF(M500&gt;L500,E500,"Draw")))</f>
        <v/>
      </c>
      <c r="O500" s="18">
        <f>IF(AND(D500="",E500=""),"",IF(AND(L500&lt;&gt;"",M500&lt;&gt;""),"Completed","Scheduled"))</f>
        <v/>
      </c>
    </row>
    <row r="501">
      <c r="A501" s="15" t="n"/>
      <c r="B501" s="16" t="n"/>
      <c r="C501" s="16" t="n"/>
      <c r="D501" s="17" t="n"/>
      <c r="E501" s="17" t="n"/>
      <c r="F501" s="16" t="n"/>
      <c r="G501" s="16" t="n"/>
      <c r="H501" s="16" t="n"/>
      <c r="I501" s="16" t="n"/>
      <c r="J501" s="16" t="n"/>
      <c r="K501" s="16" t="n"/>
      <c r="L501" s="18">
        <f>IF(AND(D501="",E501=""),"",IFERROR(IF(F501&lt;&gt;"",F501,0)+IF(H501&lt;&gt;"",H501,0)+IF(J501&lt;&gt;"",J501,0),""))</f>
        <v/>
      </c>
      <c r="M501" s="18">
        <f>IF(AND(D501="",E501=""),"",IFERROR(IF(G501&lt;&gt;"",G501,0)+IF(I501&lt;&gt;"",I501,0)+IF(K501&lt;&gt;"",K501,0),""))</f>
        <v/>
      </c>
      <c r="N501" s="18">
        <f>IF(OR(L501="",M501=""),"",IF(L501&gt;M501,D501,IF(M501&gt;L501,E501,"Draw")))</f>
        <v/>
      </c>
      <c r="O501" s="18">
        <f>IF(AND(D501="",E501=""),"",IF(AND(L501&lt;&gt;"",M501&lt;&gt;""),"Completed","Scheduled"))</f>
        <v/>
      </c>
    </row>
    <row r="502">
      <c r="A502" s="15" t="n"/>
      <c r="B502" s="16" t="n"/>
      <c r="C502" s="16" t="n"/>
      <c r="D502" s="17" t="n"/>
      <c r="E502" s="17" t="n"/>
      <c r="F502" s="16" t="n"/>
      <c r="G502" s="16" t="n"/>
      <c r="H502" s="16" t="n"/>
      <c r="I502" s="16" t="n"/>
      <c r="J502" s="16" t="n"/>
      <c r="K502" s="16" t="n"/>
      <c r="L502" s="18">
        <f>IF(AND(D502="",E502=""),"",IFERROR(IF(F502&lt;&gt;"",F502,0)+IF(H502&lt;&gt;"",H502,0)+IF(J502&lt;&gt;"",J502,0),""))</f>
        <v/>
      </c>
      <c r="M502" s="18">
        <f>IF(AND(D502="",E502=""),"",IFERROR(IF(G502&lt;&gt;"",G502,0)+IF(I502&lt;&gt;"",I502,0)+IF(K502&lt;&gt;"",K502,0),""))</f>
        <v/>
      </c>
      <c r="N502" s="18">
        <f>IF(OR(L502="",M502=""),"",IF(L502&gt;M502,D502,IF(M502&gt;L502,E502,"Draw")))</f>
        <v/>
      </c>
      <c r="O502" s="18">
        <f>IF(AND(D502="",E502=""),"",IF(AND(L502&lt;&gt;"",M502&lt;&gt;""),"Completed","Scheduled"))</f>
        <v/>
      </c>
    </row>
  </sheetData>
  <mergeCells count="1">
    <mergeCell ref="A1:O1"/>
  </mergeCells>
  <conditionalFormatting sqref="O3:O502">
    <cfRule type="expression" priority="1" dxfId="0">
      <formula>O3="Completed"</formula>
    </cfRule>
  </conditionalFormatting>
  <dataValidations count="4">
    <dataValidation sqref="B3:B502" showDropDown="0" showInputMessage="0" showErrorMessage="0" allowBlank="1" type="list">
      <formula1>"Initial,Quarter-Finals,Semi-Finals,Finals"</formula1>
    </dataValidation>
    <dataValidation sqref="C3:C502" showDropDown="0" showInputMessage="0" showErrorMessage="0" allowBlank="1" type="list">
      <formula1>"A,B,C,D,E,F"</formula1>
    </dataValidation>
    <dataValidation sqref="D3:D502" showDropDown="0" showInputMessage="0" showErrorMessage="0" allowBlank="1" type="list">
      <formula1>TeamList</formula1>
    </dataValidation>
    <dataValidation sqref="E3:E502" showDropDown="0" showInputMessage="0" showErrorMessage="0" allowBlank="1" type="list">
      <formula1>TeamList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</cols>
  <sheetData>
    <row r="1" ht="36" customHeight="1">
      <c r="A1" s="1" t="inlineStr">
        <is>
          <t>LEADERBOARD</t>
        </is>
      </c>
    </row>
    <row r="2" ht="8" customHeight="1"/>
    <row r="3" ht="22" customHeight="1">
      <c r="A3" s="3" t="inlineStr">
        <is>
          <t>Stage:</t>
        </is>
      </c>
      <c r="B3" s="19" t="inlineStr">
        <is>
          <t>Initial</t>
        </is>
      </c>
      <c r="D3" s="7" t="inlineStr">
        <is>
          <t>← Change stage to view different standings</t>
        </is>
      </c>
    </row>
    <row r="5">
      <c r="A5" s="20" t="inlineStr">
        <is>
          <t>DIVISION A</t>
        </is>
      </c>
    </row>
    <row r="6">
      <c r="A6" s="9" t="inlineStr">
        <is>
          <t>Pos</t>
        </is>
      </c>
      <c r="B6" s="9" t="inlineStr">
        <is>
          <t>Team</t>
        </is>
      </c>
      <c r="C6" s="9" t="inlineStr">
        <is>
          <t>Played</t>
        </is>
      </c>
      <c r="D6" s="9" t="inlineStr">
        <is>
          <t>Won</t>
        </is>
      </c>
      <c r="E6" s="9" t="inlineStr">
        <is>
          <t>Drawn</t>
        </is>
      </c>
      <c r="F6" s="9" t="inlineStr">
        <is>
          <t>Lost</t>
        </is>
      </c>
      <c r="G6" s="9" t="inlineStr">
        <is>
          <t>Points</t>
        </is>
      </c>
      <c r="H6" s="9" t="inlineStr">
        <is>
          <t>GF</t>
        </is>
      </c>
      <c r="I6" s="9" t="inlineStr">
        <is>
          <t>GA</t>
        </is>
      </c>
      <c r="J6" s="9" t="inlineStr">
        <is>
          <t>Diff</t>
        </is>
      </c>
    </row>
    <row r="7">
      <c r="A7" s="21" t="n"/>
      <c r="B7" s="13">
        <f>IFERROR(INDEX(Teams!$B$3:$B$52,SMALL(IF(Teams!$A$3:$A$52="A",ROW(Teams!$A$3:$A$52)-ROW(Teams!$A$3)+1),1)),"")</f>
        <v/>
      </c>
      <c r="C7" s="22">
        <f>IFERROR(IF(B7="","",SUMPRODUCT((Matches!$B$3:$B$502=$B$3)*(Matches!$D$3:$D$502=B7)*(Matches!$O$3:$O$502="Completed"))+SUMPRODUCT((Matches!$B$3:$B$502=$B$3)*(Matches!$E$3:$E$502=B7)*(Matches!$O$3:$O$502="Completed"))),"—")</f>
        <v/>
      </c>
      <c r="D7" s="22">
        <f>IFERROR(IF(B7="","",SUMPRODUCT((Matches!$B$3:$B$502=$B$3)*(Matches!$D$3:$D$502=B7)*(Matches!$N$3:$N$502=B7)*(Matches!$O$3:$O$502="Completed"))+SUMPRODUCT((Matches!$B$3:$B$502=$B$3)*(Matches!$E$3:$E$502=B7)*(Matches!$N$3:$N$502=B7)*(Matches!$O$3:$O$502="Completed"))),"—")</f>
        <v/>
      </c>
      <c r="E7" s="22">
        <f>IFERROR(IF(B7="","",SUMPRODUCT((Matches!$B$3:$B$502=$B$3)*(Matches!$D$3:$D$502=B7)*(Matches!$N$3:$N$502="Draw")*(Matches!$O$3:$O$502="Completed"))+SUMPRODUCT((Matches!$B$3:$B$502=$B$3)*(Matches!$E$3:$E$502=B7)*(Matches!$N$3:$N$502="Draw")*(Matches!$O$3:$O$502="Completed"))),"—")</f>
        <v/>
      </c>
      <c r="F7" s="22">
        <f>IFERROR(IF(B7="","",IF(ISNUMBER(C7),C7-D7-E7,"—")),"—")</f>
        <v/>
      </c>
      <c r="G7" s="23">
        <f>IFERROR(IF(B7="","",IF(ISNUMBER(D7),D7*Setup!$B$8+E7*Setup!$B$9+F7*Setup!$B$10,"—")),"—")</f>
        <v/>
      </c>
      <c r="H7" s="22">
        <f>IFERROR(IF(B7="","",SUMPRODUCT((Matches!$B$3:$B$502=$B$3)*(Matches!$D$3:$D$502=B7)*(Matches!$O$3:$O$502="Completed")*IF(ISNUMBER(Matches!$L$3:$L$502),Matches!$L$3:$L$502,0))+SUMPRODUCT((Matches!$B$3:$B$502=$B$3)*(Matches!$E$3:$E$502=B7)*(Matches!$O$3:$O$502="Completed")*IF(ISNUMBER(Matches!$M$3:$M$502),Matches!$M$3:$M$502,0))),"—")</f>
        <v/>
      </c>
      <c r="I7" s="22">
        <f>IFERROR(IF(B7="","",SUMPRODUCT((Matches!$B$3:$B$502=$B$3)*(Matches!$D$3:$D$502=B7)*(Matches!$O$3:$O$502="Completed")*IF(ISNUMBER(Matches!$M$3:$M$502),Matches!$M$3:$M$502,0))+SUMPRODUCT((Matches!$B$3:$B$502=$B$3)*(Matches!$E$3:$E$502=B7)*(Matches!$O$3:$O$502="Completed")*IF(ISNUMBER(Matches!$L$3:$L$502),Matches!$L$3:$L$502,0))),"—")</f>
        <v/>
      </c>
      <c r="J7" s="24">
        <f>IFERROR(IF(B7="","",IF(ISNUMBER(H7),H7-I7,"—")),"—")</f>
        <v/>
      </c>
    </row>
    <row r="8">
      <c r="A8" s="25" t="n"/>
      <c r="B8" s="11">
        <f>IFERROR(INDEX(Teams!$B$3:$B$52,SMALL(IF(Teams!$A$3:$A$52="A",ROW(Teams!$A$3:$A$52)-ROW(Teams!$A$3)+1),2)),"")</f>
        <v/>
      </c>
      <c r="C8" s="26">
        <f>IFERROR(IF(B8="","",SUMPRODUCT((Matches!$B$3:$B$502=$B$3)*(Matches!$D$3:$D$502=B8)*(Matches!$O$3:$O$502="Completed"))+SUMPRODUCT((Matches!$B$3:$B$502=$B$3)*(Matches!$E$3:$E$502=B8)*(Matches!$O$3:$O$502="Completed"))),"—")</f>
        <v/>
      </c>
      <c r="D8" s="26">
        <f>IFERROR(IF(B8="","",SUMPRODUCT((Matches!$B$3:$B$502=$B$3)*(Matches!$D$3:$D$502=B8)*(Matches!$N$3:$N$502=B8)*(Matches!$O$3:$O$502="Completed"))+SUMPRODUCT((Matches!$B$3:$B$502=$B$3)*(Matches!$E$3:$E$502=B8)*(Matches!$N$3:$N$502=B8)*(Matches!$O$3:$O$502="Completed"))),"—")</f>
        <v/>
      </c>
      <c r="E8" s="26">
        <f>IFERROR(IF(B8="","",SUMPRODUCT((Matches!$B$3:$B$502=$B$3)*(Matches!$D$3:$D$502=B8)*(Matches!$N$3:$N$502="Draw")*(Matches!$O$3:$O$502="Completed"))+SUMPRODUCT((Matches!$B$3:$B$502=$B$3)*(Matches!$E$3:$E$502=B8)*(Matches!$N$3:$N$502="Draw")*(Matches!$O$3:$O$502="Completed"))),"—")</f>
        <v/>
      </c>
      <c r="F8" s="26">
        <f>IFERROR(IF(B8="","",IF(ISNUMBER(C8),C8-D8-E8,"—")),"—")</f>
        <v/>
      </c>
      <c r="G8" s="27">
        <f>IFERROR(IF(B8="","",IF(ISNUMBER(D8),D8*Setup!$B$8+E8*Setup!$B$9+F8*Setup!$B$10,"—")),"—")</f>
        <v/>
      </c>
      <c r="H8" s="26">
        <f>IFERROR(IF(B8="","",SUMPRODUCT((Matches!$B$3:$B$502=$B$3)*(Matches!$D$3:$D$502=B8)*(Matches!$O$3:$O$502="Completed")*IF(ISNUMBER(Matches!$L$3:$L$502),Matches!$L$3:$L$502,0))+SUMPRODUCT((Matches!$B$3:$B$502=$B$3)*(Matches!$E$3:$E$502=B8)*(Matches!$O$3:$O$502="Completed")*IF(ISNUMBER(Matches!$M$3:$M$502),Matches!$M$3:$M$502,0))),"—")</f>
        <v/>
      </c>
      <c r="I8" s="26">
        <f>IFERROR(IF(B8="","",SUMPRODUCT((Matches!$B$3:$B$502=$B$3)*(Matches!$D$3:$D$502=B8)*(Matches!$O$3:$O$502="Completed")*IF(ISNUMBER(Matches!$M$3:$M$502),Matches!$M$3:$M$502,0))+SUMPRODUCT((Matches!$B$3:$B$502=$B$3)*(Matches!$E$3:$E$502=B8)*(Matches!$O$3:$O$502="Completed")*IF(ISNUMBER(Matches!$L$3:$L$502),Matches!$L$3:$L$502,0))),"—")</f>
        <v/>
      </c>
      <c r="J8" s="28">
        <f>IFERROR(IF(B8="","",IF(ISNUMBER(H8),H8-I8,"—")),"—")</f>
        <v/>
      </c>
    </row>
    <row r="9">
      <c r="A9" s="21" t="n"/>
      <c r="B9" s="13">
        <f>IFERROR(INDEX(Teams!$B$3:$B$52,SMALL(IF(Teams!$A$3:$A$52="A",ROW(Teams!$A$3:$A$52)-ROW(Teams!$A$3)+1),3)),"")</f>
        <v/>
      </c>
      <c r="C9" s="22">
        <f>IFERROR(IF(B9="","",SUMPRODUCT((Matches!$B$3:$B$502=$B$3)*(Matches!$D$3:$D$502=B9)*(Matches!$O$3:$O$502="Completed"))+SUMPRODUCT((Matches!$B$3:$B$502=$B$3)*(Matches!$E$3:$E$502=B9)*(Matches!$O$3:$O$502="Completed"))),"—")</f>
        <v/>
      </c>
      <c r="D9" s="22">
        <f>IFERROR(IF(B9="","",SUMPRODUCT((Matches!$B$3:$B$502=$B$3)*(Matches!$D$3:$D$502=B9)*(Matches!$N$3:$N$502=B9)*(Matches!$O$3:$O$502="Completed"))+SUMPRODUCT((Matches!$B$3:$B$502=$B$3)*(Matches!$E$3:$E$502=B9)*(Matches!$N$3:$N$502=B9)*(Matches!$O$3:$O$502="Completed"))),"—")</f>
        <v/>
      </c>
      <c r="E9" s="22">
        <f>IFERROR(IF(B9="","",SUMPRODUCT((Matches!$B$3:$B$502=$B$3)*(Matches!$D$3:$D$502=B9)*(Matches!$N$3:$N$502="Draw")*(Matches!$O$3:$O$502="Completed"))+SUMPRODUCT((Matches!$B$3:$B$502=$B$3)*(Matches!$E$3:$E$502=B9)*(Matches!$N$3:$N$502="Draw")*(Matches!$O$3:$O$502="Completed"))),"—")</f>
        <v/>
      </c>
      <c r="F9" s="22">
        <f>IFERROR(IF(B9="","",IF(ISNUMBER(C9),C9-D9-E9,"—")),"—")</f>
        <v/>
      </c>
      <c r="G9" s="23">
        <f>IFERROR(IF(B9="","",IF(ISNUMBER(D9),D9*Setup!$B$8+E9*Setup!$B$9+F9*Setup!$B$10,"—")),"—")</f>
        <v/>
      </c>
      <c r="H9" s="22">
        <f>IFERROR(IF(B9="","",SUMPRODUCT((Matches!$B$3:$B$502=$B$3)*(Matches!$D$3:$D$502=B9)*(Matches!$O$3:$O$502="Completed")*IF(ISNUMBER(Matches!$L$3:$L$502),Matches!$L$3:$L$502,0))+SUMPRODUCT((Matches!$B$3:$B$502=$B$3)*(Matches!$E$3:$E$502=B9)*(Matches!$O$3:$O$502="Completed")*IF(ISNUMBER(Matches!$M$3:$M$502),Matches!$M$3:$M$502,0))),"—")</f>
        <v/>
      </c>
      <c r="I9" s="22">
        <f>IFERROR(IF(B9="","",SUMPRODUCT((Matches!$B$3:$B$502=$B$3)*(Matches!$D$3:$D$502=B9)*(Matches!$O$3:$O$502="Completed")*IF(ISNUMBER(Matches!$M$3:$M$502),Matches!$M$3:$M$502,0))+SUMPRODUCT((Matches!$B$3:$B$502=$B$3)*(Matches!$E$3:$E$502=B9)*(Matches!$O$3:$O$502="Completed")*IF(ISNUMBER(Matches!$L$3:$L$502),Matches!$L$3:$L$502,0))),"—")</f>
        <v/>
      </c>
      <c r="J9" s="24">
        <f>IFERROR(IF(B9="","",IF(ISNUMBER(H9),H9-I9,"—")),"—")</f>
        <v/>
      </c>
    </row>
    <row r="10">
      <c r="A10" s="25" t="n"/>
      <c r="B10" s="11">
        <f>IFERROR(INDEX(Teams!$B$3:$B$52,SMALL(IF(Teams!$A$3:$A$52="A",ROW(Teams!$A$3:$A$52)-ROW(Teams!$A$3)+1),4)),"")</f>
        <v/>
      </c>
      <c r="C10" s="26">
        <f>IFERROR(IF(B10="","",SUMPRODUCT((Matches!$B$3:$B$502=$B$3)*(Matches!$D$3:$D$502=B10)*(Matches!$O$3:$O$502="Completed"))+SUMPRODUCT((Matches!$B$3:$B$502=$B$3)*(Matches!$E$3:$E$502=B10)*(Matches!$O$3:$O$502="Completed"))),"—")</f>
        <v/>
      </c>
      <c r="D10" s="26">
        <f>IFERROR(IF(B10="","",SUMPRODUCT((Matches!$B$3:$B$502=$B$3)*(Matches!$D$3:$D$502=B10)*(Matches!$N$3:$N$502=B10)*(Matches!$O$3:$O$502="Completed"))+SUMPRODUCT((Matches!$B$3:$B$502=$B$3)*(Matches!$E$3:$E$502=B10)*(Matches!$N$3:$N$502=B10)*(Matches!$O$3:$O$502="Completed"))),"—")</f>
        <v/>
      </c>
      <c r="E10" s="26">
        <f>IFERROR(IF(B10="","",SUMPRODUCT((Matches!$B$3:$B$502=$B$3)*(Matches!$D$3:$D$502=B10)*(Matches!$N$3:$N$502="Draw")*(Matches!$O$3:$O$502="Completed"))+SUMPRODUCT((Matches!$B$3:$B$502=$B$3)*(Matches!$E$3:$E$502=B10)*(Matches!$N$3:$N$502="Draw")*(Matches!$O$3:$O$502="Completed"))),"—")</f>
        <v/>
      </c>
      <c r="F10" s="26">
        <f>IFERROR(IF(B10="","",IF(ISNUMBER(C10),C10-D10-E10,"—")),"—")</f>
        <v/>
      </c>
      <c r="G10" s="27">
        <f>IFERROR(IF(B10="","",IF(ISNUMBER(D10),D10*Setup!$B$8+E10*Setup!$B$9+F10*Setup!$B$10,"—")),"—")</f>
        <v/>
      </c>
      <c r="H10" s="26">
        <f>IFERROR(IF(B10="","",SUMPRODUCT((Matches!$B$3:$B$502=$B$3)*(Matches!$D$3:$D$502=B10)*(Matches!$O$3:$O$502="Completed")*IF(ISNUMBER(Matches!$L$3:$L$502),Matches!$L$3:$L$502,0))+SUMPRODUCT((Matches!$B$3:$B$502=$B$3)*(Matches!$E$3:$E$502=B10)*(Matches!$O$3:$O$502="Completed")*IF(ISNUMBER(Matches!$M$3:$M$502),Matches!$M$3:$M$502,0))),"—")</f>
        <v/>
      </c>
      <c r="I10" s="26">
        <f>IFERROR(IF(B10="","",SUMPRODUCT((Matches!$B$3:$B$502=$B$3)*(Matches!$D$3:$D$502=B10)*(Matches!$O$3:$O$502="Completed")*IF(ISNUMBER(Matches!$M$3:$M$502),Matches!$M$3:$M$502,0))+SUMPRODUCT((Matches!$B$3:$B$502=$B$3)*(Matches!$E$3:$E$502=B10)*(Matches!$O$3:$O$502="Completed")*IF(ISNUMBER(Matches!$L$3:$L$502),Matches!$L$3:$L$502,0))),"—")</f>
        <v/>
      </c>
      <c r="J10" s="28">
        <f>IFERROR(IF(B10="","",IF(ISNUMBER(H10),H10-I10,"—")),"—")</f>
        <v/>
      </c>
    </row>
    <row r="11">
      <c r="A11" s="21" t="n"/>
      <c r="B11" s="13">
        <f>IFERROR(INDEX(Teams!$B$3:$B$52,SMALL(IF(Teams!$A$3:$A$52="A",ROW(Teams!$A$3:$A$52)-ROW(Teams!$A$3)+1),5)),"")</f>
        <v/>
      </c>
      <c r="C11" s="22">
        <f>IFERROR(IF(B11="","",SUMPRODUCT((Matches!$B$3:$B$502=$B$3)*(Matches!$D$3:$D$502=B11)*(Matches!$O$3:$O$502="Completed"))+SUMPRODUCT((Matches!$B$3:$B$502=$B$3)*(Matches!$E$3:$E$502=B11)*(Matches!$O$3:$O$502="Completed"))),"—")</f>
        <v/>
      </c>
      <c r="D11" s="22">
        <f>IFERROR(IF(B11="","",SUMPRODUCT((Matches!$B$3:$B$502=$B$3)*(Matches!$D$3:$D$502=B11)*(Matches!$N$3:$N$502=B11)*(Matches!$O$3:$O$502="Completed"))+SUMPRODUCT((Matches!$B$3:$B$502=$B$3)*(Matches!$E$3:$E$502=B11)*(Matches!$N$3:$N$502=B11)*(Matches!$O$3:$O$502="Completed"))),"—")</f>
        <v/>
      </c>
      <c r="E11" s="22">
        <f>IFERROR(IF(B11="","",SUMPRODUCT((Matches!$B$3:$B$502=$B$3)*(Matches!$D$3:$D$502=B11)*(Matches!$N$3:$N$502="Draw")*(Matches!$O$3:$O$502="Completed"))+SUMPRODUCT((Matches!$B$3:$B$502=$B$3)*(Matches!$E$3:$E$502=B11)*(Matches!$N$3:$N$502="Draw")*(Matches!$O$3:$O$502="Completed"))),"—")</f>
        <v/>
      </c>
      <c r="F11" s="22">
        <f>IFERROR(IF(B11="","",IF(ISNUMBER(C11),C11-D11-E11,"—")),"—")</f>
        <v/>
      </c>
      <c r="G11" s="23">
        <f>IFERROR(IF(B11="","",IF(ISNUMBER(D11),D11*Setup!$B$8+E11*Setup!$B$9+F11*Setup!$B$10,"—")),"—")</f>
        <v/>
      </c>
      <c r="H11" s="22">
        <f>IFERROR(IF(B11="","",SUMPRODUCT((Matches!$B$3:$B$502=$B$3)*(Matches!$D$3:$D$502=B11)*(Matches!$O$3:$O$502="Completed")*IF(ISNUMBER(Matches!$L$3:$L$502),Matches!$L$3:$L$502,0))+SUMPRODUCT((Matches!$B$3:$B$502=$B$3)*(Matches!$E$3:$E$502=B11)*(Matches!$O$3:$O$502="Completed")*IF(ISNUMBER(Matches!$M$3:$M$502),Matches!$M$3:$M$502,0))),"—")</f>
        <v/>
      </c>
      <c r="I11" s="22">
        <f>IFERROR(IF(B11="","",SUMPRODUCT((Matches!$B$3:$B$502=$B$3)*(Matches!$D$3:$D$502=B11)*(Matches!$O$3:$O$502="Completed")*IF(ISNUMBER(Matches!$M$3:$M$502),Matches!$M$3:$M$502,0))+SUMPRODUCT((Matches!$B$3:$B$502=$B$3)*(Matches!$E$3:$E$502=B11)*(Matches!$O$3:$O$502="Completed")*IF(ISNUMBER(Matches!$L$3:$L$502),Matches!$L$3:$L$502,0))),"—")</f>
        <v/>
      </c>
      <c r="J11" s="24">
        <f>IFERROR(IF(B11="","",IF(ISNUMBER(H11),H11-I11,"—")),"—")</f>
        <v/>
      </c>
    </row>
    <row r="12">
      <c r="A12" s="25" t="n"/>
      <c r="B12" s="11">
        <f>IFERROR(INDEX(Teams!$B$3:$B$52,SMALL(IF(Teams!$A$3:$A$52="A",ROW(Teams!$A$3:$A$52)-ROW(Teams!$A$3)+1),6)),"")</f>
        <v/>
      </c>
      <c r="C12" s="26">
        <f>IFERROR(IF(B12="","",SUMPRODUCT((Matches!$B$3:$B$502=$B$3)*(Matches!$D$3:$D$502=B12)*(Matches!$O$3:$O$502="Completed"))+SUMPRODUCT((Matches!$B$3:$B$502=$B$3)*(Matches!$E$3:$E$502=B12)*(Matches!$O$3:$O$502="Completed"))),"—")</f>
        <v/>
      </c>
      <c r="D12" s="26">
        <f>IFERROR(IF(B12="","",SUMPRODUCT((Matches!$B$3:$B$502=$B$3)*(Matches!$D$3:$D$502=B12)*(Matches!$N$3:$N$502=B12)*(Matches!$O$3:$O$502="Completed"))+SUMPRODUCT((Matches!$B$3:$B$502=$B$3)*(Matches!$E$3:$E$502=B12)*(Matches!$N$3:$N$502=B12)*(Matches!$O$3:$O$502="Completed"))),"—")</f>
        <v/>
      </c>
      <c r="E12" s="26">
        <f>IFERROR(IF(B12="","",SUMPRODUCT((Matches!$B$3:$B$502=$B$3)*(Matches!$D$3:$D$502=B12)*(Matches!$N$3:$N$502="Draw")*(Matches!$O$3:$O$502="Completed"))+SUMPRODUCT((Matches!$B$3:$B$502=$B$3)*(Matches!$E$3:$E$502=B12)*(Matches!$N$3:$N$502="Draw")*(Matches!$O$3:$O$502="Completed"))),"—")</f>
        <v/>
      </c>
      <c r="F12" s="26">
        <f>IFERROR(IF(B12="","",IF(ISNUMBER(C12),C12-D12-E12,"—")),"—")</f>
        <v/>
      </c>
      <c r="G12" s="27">
        <f>IFERROR(IF(B12="","",IF(ISNUMBER(D12),D12*Setup!$B$8+E12*Setup!$B$9+F12*Setup!$B$10,"—")),"—")</f>
        <v/>
      </c>
      <c r="H12" s="26">
        <f>IFERROR(IF(B12="","",SUMPRODUCT((Matches!$B$3:$B$502=$B$3)*(Matches!$D$3:$D$502=B12)*(Matches!$O$3:$O$502="Completed")*IF(ISNUMBER(Matches!$L$3:$L$502),Matches!$L$3:$L$502,0))+SUMPRODUCT((Matches!$B$3:$B$502=$B$3)*(Matches!$E$3:$E$502=B12)*(Matches!$O$3:$O$502="Completed")*IF(ISNUMBER(Matches!$M$3:$M$502),Matches!$M$3:$M$502,0))),"—")</f>
        <v/>
      </c>
      <c r="I12" s="26">
        <f>IFERROR(IF(B12="","",SUMPRODUCT((Matches!$B$3:$B$502=$B$3)*(Matches!$D$3:$D$502=B12)*(Matches!$O$3:$O$502="Completed")*IF(ISNUMBER(Matches!$M$3:$M$502),Matches!$M$3:$M$502,0))+SUMPRODUCT((Matches!$B$3:$B$502=$B$3)*(Matches!$E$3:$E$502=B12)*(Matches!$O$3:$O$502="Completed")*IF(ISNUMBER(Matches!$L$3:$L$502),Matches!$L$3:$L$502,0))),"—")</f>
        <v/>
      </c>
      <c r="J12" s="28">
        <f>IFERROR(IF(B12="","",IF(ISNUMBER(H12),H12-I12,"—")),"—")</f>
        <v/>
      </c>
    </row>
    <row r="13">
      <c r="A13" s="21" t="n"/>
      <c r="B13" s="13">
        <f>IFERROR(INDEX(Teams!$B$3:$B$52,SMALL(IF(Teams!$A$3:$A$52="A",ROW(Teams!$A$3:$A$52)-ROW(Teams!$A$3)+1),7)),"")</f>
        <v/>
      </c>
      <c r="C13" s="22">
        <f>IFERROR(IF(B13="","",SUMPRODUCT((Matches!$B$3:$B$502=$B$3)*(Matches!$D$3:$D$502=B13)*(Matches!$O$3:$O$502="Completed"))+SUMPRODUCT((Matches!$B$3:$B$502=$B$3)*(Matches!$E$3:$E$502=B13)*(Matches!$O$3:$O$502="Completed"))),"—")</f>
        <v/>
      </c>
      <c r="D13" s="22">
        <f>IFERROR(IF(B13="","",SUMPRODUCT((Matches!$B$3:$B$502=$B$3)*(Matches!$D$3:$D$502=B13)*(Matches!$N$3:$N$502=B13)*(Matches!$O$3:$O$502="Completed"))+SUMPRODUCT((Matches!$B$3:$B$502=$B$3)*(Matches!$E$3:$E$502=B13)*(Matches!$N$3:$N$502=B13)*(Matches!$O$3:$O$502="Completed"))),"—")</f>
        <v/>
      </c>
      <c r="E13" s="22">
        <f>IFERROR(IF(B13="","",SUMPRODUCT((Matches!$B$3:$B$502=$B$3)*(Matches!$D$3:$D$502=B13)*(Matches!$N$3:$N$502="Draw")*(Matches!$O$3:$O$502="Completed"))+SUMPRODUCT((Matches!$B$3:$B$502=$B$3)*(Matches!$E$3:$E$502=B13)*(Matches!$N$3:$N$502="Draw")*(Matches!$O$3:$O$502="Completed"))),"—")</f>
        <v/>
      </c>
      <c r="F13" s="22">
        <f>IFERROR(IF(B13="","",IF(ISNUMBER(C13),C13-D13-E13,"—")),"—")</f>
        <v/>
      </c>
      <c r="G13" s="23">
        <f>IFERROR(IF(B13="","",IF(ISNUMBER(D13),D13*Setup!$B$8+E13*Setup!$B$9+F13*Setup!$B$10,"—")),"—")</f>
        <v/>
      </c>
      <c r="H13" s="22">
        <f>IFERROR(IF(B13="","",SUMPRODUCT((Matches!$B$3:$B$502=$B$3)*(Matches!$D$3:$D$502=B13)*(Matches!$O$3:$O$502="Completed")*IF(ISNUMBER(Matches!$L$3:$L$502),Matches!$L$3:$L$502,0))+SUMPRODUCT((Matches!$B$3:$B$502=$B$3)*(Matches!$E$3:$E$502=B13)*(Matches!$O$3:$O$502="Completed")*IF(ISNUMBER(Matches!$M$3:$M$502),Matches!$M$3:$M$502,0))),"—")</f>
        <v/>
      </c>
      <c r="I13" s="22">
        <f>IFERROR(IF(B13="","",SUMPRODUCT((Matches!$B$3:$B$502=$B$3)*(Matches!$D$3:$D$502=B13)*(Matches!$O$3:$O$502="Completed")*IF(ISNUMBER(Matches!$M$3:$M$502),Matches!$M$3:$M$502,0))+SUMPRODUCT((Matches!$B$3:$B$502=$B$3)*(Matches!$E$3:$E$502=B13)*(Matches!$O$3:$O$502="Completed")*IF(ISNUMBER(Matches!$L$3:$L$502),Matches!$L$3:$L$502,0))),"—")</f>
        <v/>
      </c>
      <c r="J13" s="24">
        <f>IFERROR(IF(B13="","",IF(ISNUMBER(H13),H13-I13,"—")),"—")</f>
        <v/>
      </c>
    </row>
    <row r="14">
      <c r="A14" s="25" t="n"/>
      <c r="B14" s="11">
        <f>IFERROR(INDEX(Teams!$B$3:$B$52,SMALL(IF(Teams!$A$3:$A$52="A",ROW(Teams!$A$3:$A$52)-ROW(Teams!$A$3)+1),8)),"")</f>
        <v/>
      </c>
      <c r="C14" s="26">
        <f>IFERROR(IF(B14="","",SUMPRODUCT((Matches!$B$3:$B$502=$B$3)*(Matches!$D$3:$D$502=B14)*(Matches!$O$3:$O$502="Completed"))+SUMPRODUCT((Matches!$B$3:$B$502=$B$3)*(Matches!$E$3:$E$502=B14)*(Matches!$O$3:$O$502="Completed"))),"—")</f>
        <v/>
      </c>
      <c r="D14" s="26">
        <f>IFERROR(IF(B14="","",SUMPRODUCT((Matches!$B$3:$B$502=$B$3)*(Matches!$D$3:$D$502=B14)*(Matches!$N$3:$N$502=B14)*(Matches!$O$3:$O$502="Completed"))+SUMPRODUCT((Matches!$B$3:$B$502=$B$3)*(Matches!$E$3:$E$502=B14)*(Matches!$N$3:$N$502=B14)*(Matches!$O$3:$O$502="Completed"))),"—")</f>
        <v/>
      </c>
      <c r="E14" s="26">
        <f>IFERROR(IF(B14="","",SUMPRODUCT((Matches!$B$3:$B$502=$B$3)*(Matches!$D$3:$D$502=B14)*(Matches!$N$3:$N$502="Draw")*(Matches!$O$3:$O$502="Completed"))+SUMPRODUCT((Matches!$B$3:$B$502=$B$3)*(Matches!$E$3:$E$502=B14)*(Matches!$N$3:$N$502="Draw")*(Matches!$O$3:$O$502="Completed"))),"—")</f>
        <v/>
      </c>
      <c r="F14" s="26">
        <f>IFERROR(IF(B14="","",IF(ISNUMBER(C14),C14-D14-E14,"—")),"—")</f>
        <v/>
      </c>
      <c r="G14" s="27">
        <f>IFERROR(IF(B14="","",IF(ISNUMBER(D14),D14*Setup!$B$8+E14*Setup!$B$9+F14*Setup!$B$10,"—")),"—")</f>
        <v/>
      </c>
      <c r="H14" s="26">
        <f>IFERROR(IF(B14="","",SUMPRODUCT((Matches!$B$3:$B$502=$B$3)*(Matches!$D$3:$D$502=B14)*(Matches!$O$3:$O$502="Completed")*IF(ISNUMBER(Matches!$L$3:$L$502),Matches!$L$3:$L$502,0))+SUMPRODUCT((Matches!$B$3:$B$502=$B$3)*(Matches!$E$3:$E$502=B14)*(Matches!$O$3:$O$502="Completed")*IF(ISNUMBER(Matches!$M$3:$M$502),Matches!$M$3:$M$502,0))),"—")</f>
        <v/>
      </c>
      <c r="I14" s="26">
        <f>IFERROR(IF(B14="","",SUMPRODUCT((Matches!$B$3:$B$502=$B$3)*(Matches!$D$3:$D$502=B14)*(Matches!$O$3:$O$502="Completed")*IF(ISNUMBER(Matches!$M$3:$M$502),Matches!$M$3:$M$502,0))+SUMPRODUCT((Matches!$B$3:$B$502=$B$3)*(Matches!$E$3:$E$502=B14)*(Matches!$O$3:$O$502="Completed")*IF(ISNUMBER(Matches!$L$3:$L$502),Matches!$L$3:$L$502,0))),"—")</f>
        <v/>
      </c>
      <c r="J14" s="28">
        <f>IFERROR(IF(B14="","",IF(ISNUMBER(H14),H14-I14,"—")),"—")</f>
        <v/>
      </c>
    </row>
    <row r="15">
      <c r="A15" s="21" t="n"/>
      <c r="B15" s="13">
        <f>IFERROR(INDEX(Teams!$B$3:$B$52,SMALL(IF(Teams!$A$3:$A$52="A",ROW(Teams!$A$3:$A$52)-ROW(Teams!$A$3)+1),9)),"")</f>
        <v/>
      </c>
      <c r="C15" s="22">
        <f>IFERROR(IF(B15="","",SUMPRODUCT((Matches!$B$3:$B$502=$B$3)*(Matches!$D$3:$D$502=B15)*(Matches!$O$3:$O$502="Completed"))+SUMPRODUCT((Matches!$B$3:$B$502=$B$3)*(Matches!$E$3:$E$502=B15)*(Matches!$O$3:$O$502="Completed"))),"—")</f>
        <v/>
      </c>
      <c r="D15" s="22">
        <f>IFERROR(IF(B15="","",SUMPRODUCT((Matches!$B$3:$B$502=$B$3)*(Matches!$D$3:$D$502=B15)*(Matches!$N$3:$N$502=B15)*(Matches!$O$3:$O$502="Completed"))+SUMPRODUCT((Matches!$B$3:$B$502=$B$3)*(Matches!$E$3:$E$502=B15)*(Matches!$N$3:$N$502=B15)*(Matches!$O$3:$O$502="Completed"))),"—")</f>
        <v/>
      </c>
      <c r="E15" s="22">
        <f>IFERROR(IF(B15="","",SUMPRODUCT((Matches!$B$3:$B$502=$B$3)*(Matches!$D$3:$D$502=B15)*(Matches!$N$3:$N$502="Draw")*(Matches!$O$3:$O$502="Completed"))+SUMPRODUCT((Matches!$B$3:$B$502=$B$3)*(Matches!$E$3:$E$502=B15)*(Matches!$N$3:$N$502="Draw")*(Matches!$O$3:$O$502="Completed"))),"—")</f>
        <v/>
      </c>
      <c r="F15" s="22">
        <f>IFERROR(IF(B15="","",IF(ISNUMBER(C15),C15-D15-E15,"—")),"—")</f>
        <v/>
      </c>
      <c r="G15" s="23">
        <f>IFERROR(IF(B15="","",IF(ISNUMBER(D15),D15*Setup!$B$8+E15*Setup!$B$9+F15*Setup!$B$10,"—")),"—")</f>
        <v/>
      </c>
      <c r="H15" s="22">
        <f>IFERROR(IF(B15="","",SUMPRODUCT((Matches!$B$3:$B$502=$B$3)*(Matches!$D$3:$D$502=B15)*(Matches!$O$3:$O$502="Completed")*IF(ISNUMBER(Matches!$L$3:$L$502),Matches!$L$3:$L$502,0))+SUMPRODUCT((Matches!$B$3:$B$502=$B$3)*(Matches!$E$3:$E$502=B15)*(Matches!$O$3:$O$502="Completed")*IF(ISNUMBER(Matches!$M$3:$M$502),Matches!$M$3:$M$502,0))),"—")</f>
        <v/>
      </c>
      <c r="I15" s="22">
        <f>IFERROR(IF(B15="","",SUMPRODUCT((Matches!$B$3:$B$502=$B$3)*(Matches!$D$3:$D$502=B15)*(Matches!$O$3:$O$502="Completed")*IF(ISNUMBER(Matches!$M$3:$M$502),Matches!$M$3:$M$502,0))+SUMPRODUCT((Matches!$B$3:$B$502=$B$3)*(Matches!$E$3:$E$502=B15)*(Matches!$O$3:$O$502="Completed")*IF(ISNUMBER(Matches!$L$3:$L$502),Matches!$L$3:$L$502,0))),"—")</f>
        <v/>
      </c>
      <c r="J15" s="24">
        <f>IFERROR(IF(B15="","",IF(ISNUMBER(H15),H15-I15,"—")),"—")</f>
        <v/>
      </c>
    </row>
    <row r="16">
      <c r="A16" s="25" t="n"/>
      <c r="B16" s="11">
        <f>IFERROR(INDEX(Teams!$B$3:$B$52,SMALL(IF(Teams!$A$3:$A$52="A",ROW(Teams!$A$3:$A$52)-ROW(Teams!$A$3)+1),10)),"")</f>
        <v/>
      </c>
      <c r="C16" s="26">
        <f>IFERROR(IF(B16="","",SUMPRODUCT((Matches!$B$3:$B$502=$B$3)*(Matches!$D$3:$D$502=B16)*(Matches!$O$3:$O$502="Completed"))+SUMPRODUCT((Matches!$B$3:$B$502=$B$3)*(Matches!$E$3:$E$502=B16)*(Matches!$O$3:$O$502="Completed"))),"—")</f>
        <v/>
      </c>
      <c r="D16" s="26">
        <f>IFERROR(IF(B16="","",SUMPRODUCT((Matches!$B$3:$B$502=$B$3)*(Matches!$D$3:$D$502=B16)*(Matches!$N$3:$N$502=B16)*(Matches!$O$3:$O$502="Completed"))+SUMPRODUCT((Matches!$B$3:$B$502=$B$3)*(Matches!$E$3:$E$502=B16)*(Matches!$N$3:$N$502=B16)*(Matches!$O$3:$O$502="Completed"))),"—")</f>
        <v/>
      </c>
      <c r="E16" s="26">
        <f>IFERROR(IF(B16="","",SUMPRODUCT((Matches!$B$3:$B$502=$B$3)*(Matches!$D$3:$D$502=B16)*(Matches!$N$3:$N$502="Draw")*(Matches!$O$3:$O$502="Completed"))+SUMPRODUCT((Matches!$B$3:$B$502=$B$3)*(Matches!$E$3:$E$502=B16)*(Matches!$N$3:$N$502="Draw")*(Matches!$O$3:$O$502="Completed"))),"—")</f>
        <v/>
      </c>
      <c r="F16" s="26">
        <f>IFERROR(IF(B16="","",IF(ISNUMBER(C16),C16-D16-E16,"—")),"—")</f>
        <v/>
      </c>
      <c r="G16" s="27">
        <f>IFERROR(IF(B16="","",IF(ISNUMBER(D16),D16*Setup!$B$8+E16*Setup!$B$9+F16*Setup!$B$10,"—")),"—")</f>
        <v/>
      </c>
      <c r="H16" s="26">
        <f>IFERROR(IF(B16="","",SUMPRODUCT((Matches!$B$3:$B$502=$B$3)*(Matches!$D$3:$D$502=B16)*(Matches!$O$3:$O$502="Completed")*IF(ISNUMBER(Matches!$L$3:$L$502),Matches!$L$3:$L$502,0))+SUMPRODUCT((Matches!$B$3:$B$502=$B$3)*(Matches!$E$3:$E$502=B16)*(Matches!$O$3:$O$502="Completed")*IF(ISNUMBER(Matches!$M$3:$M$502),Matches!$M$3:$M$502,0))),"—")</f>
        <v/>
      </c>
      <c r="I16" s="26">
        <f>IFERROR(IF(B16="","",SUMPRODUCT((Matches!$B$3:$B$502=$B$3)*(Matches!$D$3:$D$502=B16)*(Matches!$O$3:$O$502="Completed")*IF(ISNUMBER(Matches!$M$3:$M$502),Matches!$M$3:$M$502,0))+SUMPRODUCT((Matches!$B$3:$B$502=$B$3)*(Matches!$E$3:$E$502=B16)*(Matches!$O$3:$O$502="Completed")*IF(ISNUMBER(Matches!$L$3:$L$502),Matches!$L$3:$L$502,0))),"—")</f>
        <v/>
      </c>
      <c r="J16" s="28">
        <f>IFERROR(IF(B16="","",IF(ISNUMBER(H16),H16-I16,"—")),"—")</f>
        <v/>
      </c>
    </row>
    <row r="17">
      <c r="A17" s="21" t="n"/>
      <c r="B17" s="13">
        <f>IFERROR(INDEX(Teams!$B$3:$B$52,SMALL(IF(Teams!$A$3:$A$52="A",ROW(Teams!$A$3:$A$52)-ROW(Teams!$A$3)+1),11)),"")</f>
        <v/>
      </c>
      <c r="C17" s="22">
        <f>IFERROR(IF(B17="","",SUMPRODUCT((Matches!$B$3:$B$502=$B$3)*(Matches!$D$3:$D$502=B17)*(Matches!$O$3:$O$502="Completed"))+SUMPRODUCT((Matches!$B$3:$B$502=$B$3)*(Matches!$E$3:$E$502=B17)*(Matches!$O$3:$O$502="Completed"))),"—")</f>
        <v/>
      </c>
      <c r="D17" s="22">
        <f>IFERROR(IF(B17="","",SUMPRODUCT((Matches!$B$3:$B$502=$B$3)*(Matches!$D$3:$D$502=B17)*(Matches!$N$3:$N$502=B17)*(Matches!$O$3:$O$502="Completed"))+SUMPRODUCT((Matches!$B$3:$B$502=$B$3)*(Matches!$E$3:$E$502=B17)*(Matches!$N$3:$N$502=B17)*(Matches!$O$3:$O$502="Completed"))),"—")</f>
        <v/>
      </c>
      <c r="E17" s="22">
        <f>IFERROR(IF(B17="","",SUMPRODUCT((Matches!$B$3:$B$502=$B$3)*(Matches!$D$3:$D$502=B17)*(Matches!$N$3:$N$502="Draw")*(Matches!$O$3:$O$502="Completed"))+SUMPRODUCT((Matches!$B$3:$B$502=$B$3)*(Matches!$E$3:$E$502=B17)*(Matches!$N$3:$N$502="Draw")*(Matches!$O$3:$O$502="Completed"))),"—")</f>
        <v/>
      </c>
      <c r="F17" s="22">
        <f>IFERROR(IF(B17="","",IF(ISNUMBER(C17),C17-D17-E17,"—")),"—")</f>
        <v/>
      </c>
      <c r="G17" s="23">
        <f>IFERROR(IF(B17="","",IF(ISNUMBER(D17),D17*Setup!$B$8+E17*Setup!$B$9+F17*Setup!$B$10,"—")),"—")</f>
        <v/>
      </c>
      <c r="H17" s="22">
        <f>IFERROR(IF(B17="","",SUMPRODUCT((Matches!$B$3:$B$502=$B$3)*(Matches!$D$3:$D$502=B17)*(Matches!$O$3:$O$502="Completed")*IF(ISNUMBER(Matches!$L$3:$L$502),Matches!$L$3:$L$502,0))+SUMPRODUCT((Matches!$B$3:$B$502=$B$3)*(Matches!$E$3:$E$502=B17)*(Matches!$O$3:$O$502="Completed")*IF(ISNUMBER(Matches!$M$3:$M$502),Matches!$M$3:$M$502,0))),"—")</f>
        <v/>
      </c>
      <c r="I17" s="22">
        <f>IFERROR(IF(B17="","",SUMPRODUCT((Matches!$B$3:$B$502=$B$3)*(Matches!$D$3:$D$502=B17)*(Matches!$O$3:$O$502="Completed")*IF(ISNUMBER(Matches!$M$3:$M$502),Matches!$M$3:$M$502,0))+SUMPRODUCT((Matches!$B$3:$B$502=$B$3)*(Matches!$E$3:$E$502=B17)*(Matches!$O$3:$O$502="Completed")*IF(ISNUMBER(Matches!$L$3:$L$502),Matches!$L$3:$L$502,0))),"—")</f>
        <v/>
      </c>
      <c r="J17" s="24">
        <f>IFERROR(IF(B17="","",IF(ISNUMBER(H17),H17-I17,"—")),"—")</f>
        <v/>
      </c>
    </row>
    <row r="18">
      <c r="A18" s="25" t="n"/>
      <c r="B18" s="11">
        <f>IFERROR(INDEX(Teams!$B$3:$B$52,SMALL(IF(Teams!$A$3:$A$52="A",ROW(Teams!$A$3:$A$52)-ROW(Teams!$A$3)+1),12)),"")</f>
        <v/>
      </c>
      <c r="C18" s="26">
        <f>IFERROR(IF(B18="","",SUMPRODUCT((Matches!$B$3:$B$502=$B$3)*(Matches!$D$3:$D$502=B18)*(Matches!$O$3:$O$502="Completed"))+SUMPRODUCT((Matches!$B$3:$B$502=$B$3)*(Matches!$E$3:$E$502=B18)*(Matches!$O$3:$O$502="Completed"))),"—")</f>
        <v/>
      </c>
      <c r="D18" s="26">
        <f>IFERROR(IF(B18="","",SUMPRODUCT((Matches!$B$3:$B$502=$B$3)*(Matches!$D$3:$D$502=B18)*(Matches!$N$3:$N$502=B18)*(Matches!$O$3:$O$502="Completed"))+SUMPRODUCT((Matches!$B$3:$B$502=$B$3)*(Matches!$E$3:$E$502=B18)*(Matches!$N$3:$N$502=B18)*(Matches!$O$3:$O$502="Completed"))),"—")</f>
        <v/>
      </c>
      <c r="E18" s="26">
        <f>IFERROR(IF(B18="","",SUMPRODUCT((Matches!$B$3:$B$502=$B$3)*(Matches!$D$3:$D$502=B18)*(Matches!$N$3:$N$502="Draw")*(Matches!$O$3:$O$502="Completed"))+SUMPRODUCT((Matches!$B$3:$B$502=$B$3)*(Matches!$E$3:$E$502=B18)*(Matches!$N$3:$N$502="Draw")*(Matches!$O$3:$O$502="Completed"))),"—")</f>
        <v/>
      </c>
      <c r="F18" s="26">
        <f>IFERROR(IF(B18="","",IF(ISNUMBER(C18),C18-D18-E18,"—")),"—")</f>
        <v/>
      </c>
      <c r="G18" s="27">
        <f>IFERROR(IF(B18="","",IF(ISNUMBER(D18),D18*Setup!$B$8+E18*Setup!$B$9+F18*Setup!$B$10,"—")),"—")</f>
        <v/>
      </c>
      <c r="H18" s="26">
        <f>IFERROR(IF(B18="","",SUMPRODUCT((Matches!$B$3:$B$502=$B$3)*(Matches!$D$3:$D$502=B18)*(Matches!$O$3:$O$502="Completed")*IF(ISNUMBER(Matches!$L$3:$L$502),Matches!$L$3:$L$502,0))+SUMPRODUCT((Matches!$B$3:$B$502=$B$3)*(Matches!$E$3:$E$502=B18)*(Matches!$O$3:$O$502="Completed")*IF(ISNUMBER(Matches!$M$3:$M$502),Matches!$M$3:$M$502,0))),"—")</f>
        <v/>
      </c>
      <c r="I18" s="26">
        <f>IFERROR(IF(B18="","",SUMPRODUCT((Matches!$B$3:$B$502=$B$3)*(Matches!$D$3:$D$502=B18)*(Matches!$O$3:$O$502="Completed")*IF(ISNUMBER(Matches!$M$3:$M$502),Matches!$M$3:$M$502,0))+SUMPRODUCT((Matches!$B$3:$B$502=$B$3)*(Matches!$E$3:$E$502=B18)*(Matches!$O$3:$O$502="Completed")*IF(ISNUMBER(Matches!$L$3:$L$502),Matches!$L$3:$L$502,0))),"—")</f>
        <v/>
      </c>
      <c r="J18" s="28">
        <f>IFERROR(IF(B18="","",IF(ISNUMBER(H18),H18-I18,"—")),"—")</f>
        <v/>
      </c>
    </row>
    <row r="19">
      <c r="A19" s="21" t="n"/>
      <c r="B19" s="13">
        <f>IFERROR(INDEX(Teams!$B$3:$B$52,SMALL(IF(Teams!$A$3:$A$52="A",ROW(Teams!$A$3:$A$52)-ROW(Teams!$A$3)+1),13)),"")</f>
        <v/>
      </c>
      <c r="C19" s="22">
        <f>IFERROR(IF(B19="","",SUMPRODUCT((Matches!$B$3:$B$502=$B$3)*(Matches!$D$3:$D$502=B19)*(Matches!$O$3:$O$502="Completed"))+SUMPRODUCT((Matches!$B$3:$B$502=$B$3)*(Matches!$E$3:$E$502=B19)*(Matches!$O$3:$O$502="Completed"))),"—")</f>
        <v/>
      </c>
      <c r="D19" s="22">
        <f>IFERROR(IF(B19="","",SUMPRODUCT((Matches!$B$3:$B$502=$B$3)*(Matches!$D$3:$D$502=B19)*(Matches!$N$3:$N$502=B19)*(Matches!$O$3:$O$502="Completed"))+SUMPRODUCT((Matches!$B$3:$B$502=$B$3)*(Matches!$E$3:$E$502=B19)*(Matches!$N$3:$N$502=B19)*(Matches!$O$3:$O$502="Completed"))),"—")</f>
        <v/>
      </c>
      <c r="E19" s="22">
        <f>IFERROR(IF(B19="","",SUMPRODUCT((Matches!$B$3:$B$502=$B$3)*(Matches!$D$3:$D$502=B19)*(Matches!$N$3:$N$502="Draw")*(Matches!$O$3:$O$502="Completed"))+SUMPRODUCT((Matches!$B$3:$B$502=$B$3)*(Matches!$E$3:$E$502=B19)*(Matches!$N$3:$N$502="Draw")*(Matches!$O$3:$O$502="Completed"))),"—")</f>
        <v/>
      </c>
      <c r="F19" s="22">
        <f>IFERROR(IF(B19="","",IF(ISNUMBER(C19),C19-D19-E19,"—")),"—")</f>
        <v/>
      </c>
      <c r="G19" s="23">
        <f>IFERROR(IF(B19="","",IF(ISNUMBER(D19),D19*Setup!$B$8+E19*Setup!$B$9+F19*Setup!$B$10,"—")),"—")</f>
        <v/>
      </c>
      <c r="H19" s="22">
        <f>IFERROR(IF(B19="","",SUMPRODUCT((Matches!$B$3:$B$502=$B$3)*(Matches!$D$3:$D$502=B19)*(Matches!$O$3:$O$502="Completed")*IF(ISNUMBER(Matches!$L$3:$L$502),Matches!$L$3:$L$502,0))+SUMPRODUCT((Matches!$B$3:$B$502=$B$3)*(Matches!$E$3:$E$502=B19)*(Matches!$O$3:$O$502="Completed")*IF(ISNUMBER(Matches!$M$3:$M$502),Matches!$M$3:$M$502,0))),"—")</f>
        <v/>
      </c>
      <c r="I19" s="22">
        <f>IFERROR(IF(B19="","",SUMPRODUCT((Matches!$B$3:$B$502=$B$3)*(Matches!$D$3:$D$502=B19)*(Matches!$O$3:$O$502="Completed")*IF(ISNUMBER(Matches!$M$3:$M$502),Matches!$M$3:$M$502,0))+SUMPRODUCT((Matches!$B$3:$B$502=$B$3)*(Matches!$E$3:$E$502=B19)*(Matches!$O$3:$O$502="Completed")*IF(ISNUMBER(Matches!$L$3:$L$502),Matches!$L$3:$L$502,0))),"—")</f>
        <v/>
      </c>
      <c r="J19" s="24">
        <f>IFERROR(IF(B19="","",IF(ISNUMBER(H19),H19-I19,"—")),"—")</f>
        <v/>
      </c>
    </row>
    <row r="20">
      <c r="A20" s="25" t="n"/>
      <c r="B20" s="11">
        <f>IFERROR(INDEX(Teams!$B$3:$B$52,SMALL(IF(Teams!$A$3:$A$52="A",ROW(Teams!$A$3:$A$52)-ROW(Teams!$A$3)+1),14)),"")</f>
        <v/>
      </c>
      <c r="C20" s="26">
        <f>IFERROR(IF(B20="","",SUMPRODUCT((Matches!$B$3:$B$502=$B$3)*(Matches!$D$3:$D$502=B20)*(Matches!$O$3:$O$502="Completed"))+SUMPRODUCT((Matches!$B$3:$B$502=$B$3)*(Matches!$E$3:$E$502=B20)*(Matches!$O$3:$O$502="Completed"))),"—")</f>
        <v/>
      </c>
      <c r="D20" s="26">
        <f>IFERROR(IF(B20="","",SUMPRODUCT((Matches!$B$3:$B$502=$B$3)*(Matches!$D$3:$D$502=B20)*(Matches!$N$3:$N$502=B20)*(Matches!$O$3:$O$502="Completed"))+SUMPRODUCT((Matches!$B$3:$B$502=$B$3)*(Matches!$E$3:$E$502=B20)*(Matches!$N$3:$N$502=B20)*(Matches!$O$3:$O$502="Completed"))),"—")</f>
        <v/>
      </c>
      <c r="E20" s="26">
        <f>IFERROR(IF(B20="","",SUMPRODUCT((Matches!$B$3:$B$502=$B$3)*(Matches!$D$3:$D$502=B20)*(Matches!$N$3:$N$502="Draw")*(Matches!$O$3:$O$502="Completed"))+SUMPRODUCT((Matches!$B$3:$B$502=$B$3)*(Matches!$E$3:$E$502=B20)*(Matches!$N$3:$N$502="Draw")*(Matches!$O$3:$O$502="Completed"))),"—")</f>
        <v/>
      </c>
      <c r="F20" s="26">
        <f>IFERROR(IF(B20="","",IF(ISNUMBER(C20),C20-D20-E20,"—")),"—")</f>
        <v/>
      </c>
      <c r="G20" s="27">
        <f>IFERROR(IF(B20="","",IF(ISNUMBER(D20),D20*Setup!$B$8+E20*Setup!$B$9+F20*Setup!$B$10,"—")),"—")</f>
        <v/>
      </c>
      <c r="H20" s="26">
        <f>IFERROR(IF(B20="","",SUMPRODUCT((Matches!$B$3:$B$502=$B$3)*(Matches!$D$3:$D$502=B20)*(Matches!$O$3:$O$502="Completed")*IF(ISNUMBER(Matches!$L$3:$L$502),Matches!$L$3:$L$502,0))+SUMPRODUCT((Matches!$B$3:$B$502=$B$3)*(Matches!$E$3:$E$502=B20)*(Matches!$O$3:$O$502="Completed")*IF(ISNUMBER(Matches!$M$3:$M$502),Matches!$M$3:$M$502,0))),"—")</f>
        <v/>
      </c>
      <c r="I20" s="26">
        <f>IFERROR(IF(B20="","",SUMPRODUCT((Matches!$B$3:$B$502=$B$3)*(Matches!$D$3:$D$502=B20)*(Matches!$O$3:$O$502="Completed")*IF(ISNUMBER(Matches!$M$3:$M$502),Matches!$M$3:$M$502,0))+SUMPRODUCT((Matches!$B$3:$B$502=$B$3)*(Matches!$E$3:$E$502=B20)*(Matches!$O$3:$O$502="Completed")*IF(ISNUMBER(Matches!$L$3:$L$502),Matches!$L$3:$L$502,0))),"—")</f>
        <v/>
      </c>
      <c r="J20" s="28">
        <f>IFERROR(IF(B20="","",IF(ISNUMBER(H20),H20-I20,"—")),"—")</f>
        <v/>
      </c>
    </row>
    <row r="21">
      <c r="A21" s="21" t="n"/>
      <c r="B21" s="13">
        <f>IFERROR(INDEX(Teams!$B$3:$B$52,SMALL(IF(Teams!$A$3:$A$52="A",ROW(Teams!$A$3:$A$52)-ROW(Teams!$A$3)+1),15)),"")</f>
        <v/>
      </c>
      <c r="C21" s="22">
        <f>IFERROR(IF(B21="","",SUMPRODUCT((Matches!$B$3:$B$502=$B$3)*(Matches!$D$3:$D$502=B21)*(Matches!$O$3:$O$502="Completed"))+SUMPRODUCT((Matches!$B$3:$B$502=$B$3)*(Matches!$E$3:$E$502=B21)*(Matches!$O$3:$O$502="Completed"))),"—")</f>
        <v/>
      </c>
      <c r="D21" s="22">
        <f>IFERROR(IF(B21="","",SUMPRODUCT((Matches!$B$3:$B$502=$B$3)*(Matches!$D$3:$D$502=B21)*(Matches!$N$3:$N$502=B21)*(Matches!$O$3:$O$502="Completed"))+SUMPRODUCT((Matches!$B$3:$B$502=$B$3)*(Matches!$E$3:$E$502=B21)*(Matches!$N$3:$N$502=B21)*(Matches!$O$3:$O$502="Completed"))),"—")</f>
        <v/>
      </c>
      <c r="E21" s="22">
        <f>IFERROR(IF(B21="","",SUMPRODUCT((Matches!$B$3:$B$502=$B$3)*(Matches!$D$3:$D$502=B21)*(Matches!$N$3:$N$502="Draw")*(Matches!$O$3:$O$502="Completed"))+SUMPRODUCT((Matches!$B$3:$B$502=$B$3)*(Matches!$E$3:$E$502=B21)*(Matches!$N$3:$N$502="Draw")*(Matches!$O$3:$O$502="Completed"))),"—")</f>
        <v/>
      </c>
      <c r="F21" s="22">
        <f>IFERROR(IF(B21="","",IF(ISNUMBER(C21),C21-D21-E21,"—")),"—")</f>
        <v/>
      </c>
      <c r="G21" s="23">
        <f>IFERROR(IF(B21="","",IF(ISNUMBER(D21),D21*Setup!$B$8+E21*Setup!$B$9+F21*Setup!$B$10,"—")),"—")</f>
        <v/>
      </c>
      <c r="H21" s="22">
        <f>IFERROR(IF(B21="","",SUMPRODUCT((Matches!$B$3:$B$502=$B$3)*(Matches!$D$3:$D$502=B21)*(Matches!$O$3:$O$502="Completed")*IF(ISNUMBER(Matches!$L$3:$L$502),Matches!$L$3:$L$502,0))+SUMPRODUCT((Matches!$B$3:$B$502=$B$3)*(Matches!$E$3:$E$502=B21)*(Matches!$O$3:$O$502="Completed")*IF(ISNUMBER(Matches!$M$3:$M$502),Matches!$M$3:$M$502,0))),"—")</f>
        <v/>
      </c>
      <c r="I21" s="22">
        <f>IFERROR(IF(B21="","",SUMPRODUCT((Matches!$B$3:$B$502=$B$3)*(Matches!$D$3:$D$502=B21)*(Matches!$O$3:$O$502="Completed")*IF(ISNUMBER(Matches!$M$3:$M$502),Matches!$M$3:$M$502,0))+SUMPRODUCT((Matches!$B$3:$B$502=$B$3)*(Matches!$E$3:$E$502=B21)*(Matches!$O$3:$O$502="Completed")*IF(ISNUMBER(Matches!$L$3:$L$502),Matches!$L$3:$L$502,0))),"—")</f>
        <v/>
      </c>
      <c r="J21" s="24">
        <f>IFERROR(IF(B21="","",IF(ISNUMBER(H21),H21-I21,"—")),"—")</f>
        <v/>
      </c>
    </row>
    <row r="22">
      <c r="A22" s="25" t="n"/>
      <c r="B22" s="11">
        <f>IFERROR(INDEX(Teams!$B$3:$B$52,SMALL(IF(Teams!$A$3:$A$52="A",ROW(Teams!$A$3:$A$52)-ROW(Teams!$A$3)+1),16)),"")</f>
        <v/>
      </c>
      <c r="C22" s="26">
        <f>IFERROR(IF(B22="","",SUMPRODUCT((Matches!$B$3:$B$502=$B$3)*(Matches!$D$3:$D$502=B22)*(Matches!$O$3:$O$502="Completed"))+SUMPRODUCT((Matches!$B$3:$B$502=$B$3)*(Matches!$E$3:$E$502=B22)*(Matches!$O$3:$O$502="Completed"))),"—")</f>
        <v/>
      </c>
      <c r="D22" s="26">
        <f>IFERROR(IF(B22="","",SUMPRODUCT((Matches!$B$3:$B$502=$B$3)*(Matches!$D$3:$D$502=B22)*(Matches!$N$3:$N$502=B22)*(Matches!$O$3:$O$502="Completed"))+SUMPRODUCT((Matches!$B$3:$B$502=$B$3)*(Matches!$E$3:$E$502=B22)*(Matches!$N$3:$N$502=B22)*(Matches!$O$3:$O$502="Completed"))),"—")</f>
        <v/>
      </c>
      <c r="E22" s="26">
        <f>IFERROR(IF(B22="","",SUMPRODUCT((Matches!$B$3:$B$502=$B$3)*(Matches!$D$3:$D$502=B22)*(Matches!$N$3:$N$502="Draw")*(Matches!$O$3:$O$502="Completed"))+SUMPRODUCT((Matches!$B$3:$B$502=$B$3)*(Matches!$E$3:$E$502=B22)*(Matches!$N$3:$N$502="Draw")*(Matches!$O$3:$O$502="Completed"))),"—")</f>
        <v/>
      </c>
      <c r="F22" s="26">
        <f>IFERROR(IF(B22="","",IF(ISNUMBER(C22),C22-D22-E22,"—")),"—")</f>
        <v/>
      </c>
      <c r="G22" s="27">
        <f>IFERROR(IF(B22="","",IF(ISNUMBER(D22),D22*Setup!$B$8+E22*Setup!$B$9+F22*Setup!$B$10,"—")),"—")</f>
        <v/>
      </c>
      <c r="H22" s="26">
        <f>IFERROR(IF(B22="","",SUMPRODUCT((Matches!$B$3:$B$502=$B$3)*(Matches!$D$3:$D$502=B22)*(Matches!$O$3:$O$502="Completed")*IF(ISNUMBER(Matches!$L$3:$L$502),Matches!$L$3:$L$502,0))+SUMPRODUCT((Matches!$B$3:$B$502=$B$3)*(Matches!$E$3:$E$502=B22)*(Matches!$O$3:$O$502="Completed")*IF(ISNUMBER(Matches!$M$3:$M$502),Matches!$M$3:$M$502,0))),"—")</f>
        <v/>
      </c>
      <c r="I22" s="26">
        <f>IFERROR(IF(B22="","",SUMPRODUCT((Matches!$B$3:$B$502=$B$3)*(Matches!$D$3:$D$502=B22)*(Matches!$O$3:$O$502="Completed")*IF(ISNUMBER(Matches!$M$3:$M$502),Matches!$M$3:$M$502,0))+SUMPRODUCT((Matches!$B$3:$B$502=$B$3)*(Matches!$E$3:$E$502=B22)*(Matches!$O$3:$O$502="Completed")*IF(ISNUMBER(Matches!$L$3:$L$502),Matches!$L$3:$L$502,0))),"—")</f>
        <v/>
      </c>
      <c r="J22" s="28">
        <f>IFERROR(IF(B22="","",IF(ISNUMBER(H22),H22-I22,"—")),"—")</f>
        <v/>
      </c>
    </row>
    <row r="23">
      <c r="A23" s="21" t="n"/>
      <c r="B23" s="13">
        <f>IFERROR(INDEX(Teams!$B$3:$B$52,SMALL(IF(Teams!$A$3:$A$52="A",ROW(Teams!$A$3:$A$52)-ROW(Teams!$A$3)+1),17)),"")</f>
        <v/>
      </c>
      <c r="C23" s="22">
        <f>IFERROR(IF(B23="","",SUMPRODUCT((Matches!$B$3:$B$502=$B$3)*(Matches!$D$3:$D$502=B23)*(Matches!$O$3:$O$502="Completed"))+SUMPRODUCT((Matches!$B$3:$B$502=$B$3)*(Matches!$E$3:$E$502=B23)*(Matches!$O$3:$O$502="Completed"))),"—")</f>
        <v/>
      </c>
      <c r="D23" s="22">
        <f>IFERROR(IF(B23="","",SUMPRODUCT((Matches!$B$3:$B$502=$B$3)*(Matches!$D$3:$D$502=B23)*(Matches!$N$3:$N$502=B23)*(Matches!$O$3:$O$502="Completed"))+SUMPRODUCT((Matches!$B$3:$B$502=$B$3)*(Matches!$E$3:$E$502=B23)*(Matches!$N$3:$N$502=B23)*(Matches!$O$3:$O$502="Completed"))),"—")</f>
        <v/>
      </c>
      <c r="E23" s="22">
        <f>IFERROR(IF(B23="","",SUMPRODUCT((Matches!$B$3:$B$502=$B$3)*(Matches!$D$3:$D$502=B23)*(Matches!$N$3:$N$502="Draw")*(Matches!$O$3:$O$502="Completed"))+SUMPRODUCT((Matches!$B$3:$B$502=$B$3)*(Matches!$E$3:$E$502=B23)*(Matches!$N$3:$N$502="Draw")*(Matches!$O$3:$O$502="Completed"))),"—")</f>
        <v/>
      </c>
      <c r="F23" s="22">
        <f>IFERROR(IF(B23="","",IF(ISNUMBER(C23),C23-D23-E23,"—")),"—")</f>
        <v/>
      </c>
      <c r="G23" s="23">
        <f>IFERROR(IF(B23="","",IF(ISNUMBER(D23),D23*Setup!$B$8+E23*Setup!$B$9+F23*Setup!$B$10,"—")),"—")</f>
        <v/>
      </c>
      <c r="H23" s="22">
        <f>IFERROR(IF(B23="","",SUMPRODUCT((Matches!$B$3:$B$502=$B$3)*(Matches!$D$3:$D$502=B23)*(Matches!$O$3:$O$502="Completed")*IF(ISNUMBER(Matches!$L$3:$L$502),Matches!$L$3:$L$502,0))+SUMPRODUCT((Matches!$B$3:$B$502=$B$3)*(Matches!$E$3:$E$502=B23)*(Matches!$O$3:$O$502="Completed")*IF(ISNUMBER(Matches!$M$3:$M$502),Matches!$M$3:$M$502,0))),"—")</f>
        <v/>
      </c>
      <c r="I23" s="22">
        <f>IFERROR(IF(B23="","",SUMPRODUCT((Matches!$B$3:$B$502=$B$3)*(Matches!$D$3:$D$502=B23)*(Matches!$O$3:$O$502="Completed")*IF(ISNUMBER(Matches!$M$3:$M$502),Matches!$M$3:$M$502,0))+SUMPRODUCT((Matches!$B$3:$B$502=$B$3)*(Matches!$E$3:$E$502=B23)*(Matches!$O$3:$O$502="Completed")*IF(ISNUMBER(Matches!$L$3:$L$502),Matches!$L$3:$L$502,0))),"—")</f>
        <v/>
      </c>
      <c r="J23" s="24">
        <f>IFERROR(IF(B23="","",IF(ISNUMBER(H23),H23-I23,"—")),"—")</f>
        <v/>
      </c>
    </row>
    <row r="24">
      <c r="A24" s="25" t="n"/>
      <c r="B24" s="11">
        <f>IFERROR(INDEX(Teams!$B$3:$B$52,SMALL(IF(Teams!$A$3:$A$52="A",ROW(Teams!$A$3:$A$52)-ROW(Teams!$A$3)+1),18)),"")</f>
        <v/>
      </c>
      <c r="C24" s="26">
        <f>IFERROR(IF(B24="","",SUMPRODUCT((Matches!$B$3:$B$502=$B$3)*(Matches!$D$3:$D$502=B24)*(Matches!$O$3:$O$502="Completed"))+SUMPRODUCT((Matches!$B$3:$B$502=$B$3)*(Matches!$E$3:$E$502=B24)*(Matches!$O$3:$O$502="Completed"))),"—")</f>
        <v/>
      </c>
      <c r="D24" s="26">
        <f>IFERROR(IF(B24="","",SUMPRODUCT((Matches!$B$3:$B$502=$B$3)*(Matches!$D$3:$D$502=B24)*(Matches!$N$3:$N$502=B24)*(Matches!$O$3:$O$502="Completed"))+SUMPRODUCT((Matches!$B$3:$B$502=$B$3)*(Matches!$E$3:$E$502=B24)*(Matches!$N$3:$N$502=B24)*(Matches!$O$3:$O$502="Completed"))),"—")</f>
        <v/>
      </c>
      <c r="E24" s="26">
        <f>IFERROR(IF(B24="","",SUMPRODUCT((Matches!$B$3:$B$502=$B$3)*(Matches!$D$3:$D$502=B24)*(Matches!$N$3:$N$502="Draw")*(Matches!$O$3:$O$502="Completed"))+SUMPRODUCT((Matches!$B$3:$B$502=$B$3)*(Matches!$E$3:$E$502=B24)*(Matches!$N$3:$N$502="Draw")*(Matches!$O$3:$O$502="Completed"))),"—")</f>
        <v/>
      </c>
      <c r="F24" s="26">
        <f>IFERROR(IF(B24="","",IF(ISNUMBER(C24),C24-D24-E24,"—")),"—")</f>
        <v/>
      </c>
      <c r="G24" s="27">
        <f>IFERROR(IF(B24="","",IF(ISNUMBER(D24),D24*Setup!$B$8+E24*Setup!$B$9+F24*Setup!$B$10,"—")),"—")</f>
        <v/>
      </c>
      <c r="H24" s="26">
        <f>IFERROR(IF(B24="","",SUMPRODUCT((Matches!$B$3:$B$502=$B$3)*(Matches!$D$3:$D$502=B24)*(Matches!$O$3:$O$502="Completed")*IF(ISNUMBER(Matches!$L$3:$L$502),Matches!$L$3:$L$502,0))+SUMPRODUCT((Matches!$B$3:$B$502=$B$3)*(Matches!$E$3:$E$502=B24)*(Matches!$O$3:$O$502="Completed")*IF(ISNUMBER(Matches!$M$3:$M$502),Matches!$M$3:$M$502,0))),"—")</f>
        <v/>
      </c>
      <c r="I24" s="26">
        <f>IFERROR(IF(B24="","",SUMPRODUCT((Matches!$B$3:$B$502=$B$3)*(Matches!$D$3:$D$502=B24)*(Matches!$O$3:$O$502="Completed")*IF(ISNUMBER(Matches!$M$3:$M$502),Matches!$M$3:$M$502,0))+SUMPRODUCT((Matches!$B$3:$B$502=$B$3)*(Matches!$E$3:$E$502=B24)*(Matches!$O$3:$O$502="Completed")*IF(ISNUMBER(Matches!$L$3:$L$502),Matches!$L$3:$L$502,0))),"—")</f>
        <v/>
      </c>
      <c r="J24" s="28">
        <f>IFERROR(IF(B24="","",IF(ISNUMBER(H24),H24-I24,"—")),"—")</f>
        <v/>
      </c>
    </row>
    <row r="25">
      <c r="A25" s="21" t="n"/>
      <c r="B25" s="13">
        <f>IFERROR(INDEX(Teams!$B$3:$B$52,SMALL(IF(Teams!$A$3:$A$52="A",ROW(Teams!$A$3:$A$52)-ROW(Teams!$A$3)+1),19)),"")</f>
        <v/>
      </c>
      <c r="C25" s="22">
        <f>IFERROR(IF(B25="","",SUMPRODUCT((Matches!$B$3:$B$502=$B$3)*(Matches!$D$3:$D$502=B25)*(Matches!$O$3:$O$502="Completed"))+SUMPRODUCT((Matches!$B$3:$B$502=$B$3)*(Matches!$E$3:$E$502=B25)*(Matches!$O$3:$O$502="Completed"))),"—")</f>
        <v/>
      </c>
      <c r="D25" s="22">
        <f>IFERROR(IF(B25="","",SUMPRODUCT((Matches!$B$3:$B$502=$B$3)*(Matches!$D$3:$D$502=B25)*(Matches!$N$3:$N$502=B25)*(Matches!$O$3:$O$502="Completed"))+SUMPRODUCT((Matches!$B$3:$B$502=$B$3)*(Matches!$E$3:$E$502=B25)*(Matches!$N$3:$N$502=B25)*(Matches!$O$3:$O$502="Completed"))),"—")</f>
        <v/>
      </c>
      <c r="E25" s="22">
        <f>IFERROR(IF(B25="","",SUMPRODUCT((Matches!$B$3:$B$502=$B$3)*(Matches!$D$3:$D$502=B25)*(Matches!$N$3:$N$502="Draw")*(Matches!$O$3:$O$502="Completed"))+SUMPRODUCT((Matches!$B$3:$B$502=$B$3)*(Matches!$E$3:$E$502=B25)*(Matches!$N$3:$N$502="Draw")*(Matches!$O$3:$O$502="Completed"))),"—")</f>
        <v/>
      </c>
      <c r="F25" s="22">
        <f>IFERROR(IF(B25="","",IF(ISNUMBER(C25),C25-D25-E25,"—")),"—")</f>
        <v/>
      </c>
      <c r="G25" s="23">
        <f>IFERROR(IF(B25="","",IF(ISNUMBER(D25),D25*Setup!$B$8+E25*Setup!$B$9+F25*Setup!$B$10,"—")),"—")</f>
        <v/>
      </c>
      <c r="H25" s="22">
        <f>IFERROR(IF(B25="","",SUMPRODUCT((Matches!$B$3:$B$502=$B$3)*(Matches!$D$3:$D$502=B25)*(Matches!$O$3:$O$502="Completed")*IF(ISNUMBER(Matches!$L$3:$L$502),Matches!$L$3:$L$502,0))+SUMPRODUCT((Matches!$B$3:$B$502=$B$3)*(Matches!$E$3:$E$502=B25)*(Matches!$O$3:$O$502="Completed")*IF(ISNUMBER(Matches!$M$3:$M$502),Matches!$M$3:$M$502,0))),"—")</f>
        <v/>
      </c>
      <c r="I25" s="22">
        <f>IFERROR(IF(B25="","",SUMPRODUCT((Matches!$B$3:$B$502=$B$3)*(Matches!$D$3:$D$502=B25)*(Matches!$O$3:$O$502="Completed")*IF(ISNUMBER(Matches!$M$3:$M$502),Matches!$M$3:$M$502,0))+SUMPRODUCT((Matches!$B$3:$B$502=$B$3)*(Matches!$E$3:$E$502=B25)*(Matches!$O$3:$O$502="Completed")*IF(ISNUMBER(Matches!$L$3:$L$502),Matches!$L$3:$L$502,0))),"—")</f>
        <v/>
      </c>
      <c r="J25" s="24">
        <f>IFERROR(IF(B25="","",IF(ISNUMBER(H25),H25-I25,"—")),"—")</f>
        <v/>
      </c>
    </row>
    <row r="26">
      <c r="A26" s="25" t="n"/>
      <c r="B26" s="11">
        <f>IFERROR(INDEX(Teams!$B$3:$B$52,SMALL(IF(Teams!$A$3:$A$52="A",ROW(Teams!$A$3:$A$52)-ROW(Teams!$A$3)+1),20)),"")</f>
        <v/>
      </c>
      <c r="C26" s="26">
        <f>IFERROR(IF(B26="","",SUMPRODUCT((Matches!$B$3:$B$502=$B$3)*(Matches!$D$3:$D$502=B26)*(Matches!$O$3:$O$502="Completed"))+SUMPRODUCT((Matches!$B$3:$B$502=$B$3)*(Matches!$E$3:$E$502=B26)*(Matches!$O$3:$O$502="Completed"))),"—")</f>
        <v/>
      </c>
      <c r="D26" s="26">
        <f>IFERROR(IF(B26="","",SUMPRODUCT((Matches!$B$3:$B$502=$B$3)*(Matches!$D$3:$D$502=B26)*(Matches!$N$3:$N$502=B26)*(Matches!$O$3:$O$502="Completed"))+SUMPRODUCT((Matches!$B$3:$B$502=$B$3)*(Matches!$E$3:$E$502=B26)*(Matches!$N$3:$N$502=B26)*(Matches!$O$3:$O$502="Completed"))),"—")</f>
        <v/>
      </c>
      <c r="E26" s="26">
        <f>IFERROR(IF(B26="","",SUMPRODUCT((Matches!$B$3:$B$502=$B$3)*(Matches!$D$3:$D$502=B26)*(Matches!$N$3:$N$502="Draw")*(Matches!$O$3:$O$502="Completed"))+SUMPRODUCT((Matches!$B$3:$B$502=$B$3)*(Matches!$E$3:$E$502=B26)*(Matches!$N$3:$N$502="Draw")*(Matches!$O$3:$O$502="Completed"))),"—")</f>
        <v/>
      </c>
      <c r="F26" s="26">
        <f>IFERROR(IF(B26="","",IF(ISNUMBER(C26),C26-D26-E26,"—")),"—")</f>
        <v/>
      </c>
      <c r="G26" s="27">
        <f>IFERROR(IF(B26="","",IF(ISNUMBER(D26),D26*Setup!$B$8+E26*Setup!$B$9+F26*Setup!$B$10,"—")),"—")</f>
        <v/>
      </c>
      <c r="H26" s="26">
        <f>IFERROR(IF(B26="","",SUMPRODUCT((Matches!$B$3:$B$502=$B$3)*(Matches!$D$3:$D$502=B26)*(Matches!$O$3:$O$502="Completed")*IF(ISNUMBER(Matches!$L$3:$L$502),Matches!$L$3:$L$502,0))+SUMPRODUCT((Matches!$B$3:$B$502=$B$3)*(Matches!$E$3:$E$502=B26)*(Matches!$O$3:$O$502="Completed")*IF(ISNUMBER(Matches!$M$3:$M$502),Matches!$M$3:$M$502,0))),"—")</f>
        <v/>
      </c>
      <c r="I26" s="26">
        <f>IFERROR(IF(B26="","",SUMPRODUCT((Matches!$B$3:$B$502=$B$3)*(Matches!$D$3:$D$502=B26)*(Matches!$O$3:$O$502="Completed")*IF(ISNUMBER(Matches!$M$3:$M$502),Matches!$M$3:$M$502,0))+SUMPRODUCT((Matches!$B$3:$B$502=$B$3)*(Matches!$E$3:$E$502=B26)*(Matches!$O$3:$O$502="Completed")*IF(ISNUMBER(Matches!$L$3:$L$502),Matches!$L$3:$L$502,0))),"—")</f>
        <v/>
      </c>
      <c r="J26" s="28">
        <f>IFERROR(IF(B26="","",IF(ISNUMBER(H26),H26-I26,"—")),"—")</f>
        <v/>
      </c>
    </row>
    <row r="30">
      <c r="A30" s="20" t="inlineStr">
        <is>
          <t>DIVISION B</t>
        </is>
      </c>
    </row>
    <row r="31">
      <c r="A31" s="9" t="inlineStr">
        <is>
          <t>Pos</t>
        </is>
      </c>
      <c r="B31" s="9" t="inlineStr">
        <is>
          <t>Team</t>
        </is>
      </c>
      <c r="C31" s="9" t="inlineStr">
        <is>
          <t>Played</t>
        </is>
      </c>
      <c r="D31" s="9" t="inlineStr">
        <is>
          <t>Won</t>
        </is>
      </c>
      <c r="E31" s="9" t="inlineStr">
        <is>
          <t>Drawn</t>
        </is>
      </c>
      <c r="F31" s="9" t="inlineStr">
        <is>
          <t>Lost</t>
        </is>
      </c>
      <c r="G31" s="9" t="inlineStr">
        <is>
          <t>Points</t>
        </is>
      </c>
      <c r="H31" s="9" t="inlineStr">
        <is>
          <t>GF</t>
        </is>
      </c>
      <c r="I31" s="9" t="inlineStr">
        <is>
          <t>GA</t>
        </is>
      </c>
      <c r="J31" s="9" t="inlineStr">
        <is>
          <t>Diff</t>
        </is>
      </c>
    </row>
    <row r="32">
      <c r="A32" s="21" t="n"/>
      <c r="B32" s="13">
        <f>IFERROR(INDEX(Teams!$B$3:$B$52,SMALL(IF(Teams!$A$3:$A$52="B",ROW(Teams!$A$3:$A$52)-ROW(Teams!$A$3)+1),1)),"")</f>
        <v/>
      </c>
      <c r="C32" s="22">
        <f>IFERROR(IF(B32="","",SUMPRODUCT((Matches!$B$3:$B$502=$B$3)*(Matches!$D$3:$D$502=B32)*(Matches!$O$3:$O$502="Completed"))+SUMPRODUCT((Matches!$B$3:$B$502=$B$3)*(Matches!$E$3:$E$502=B32)*(Matches!$O$3:$O$502="Completed"))),"—")</f>
        <v/>
      </c>
      <c r="D32" s="22">
        <f>IFERROR(IF(B32="","",SUMPRODUCT((Matches!$B$3:$B$502=$B$3)*(Matches!$D$3:$D$502=B32)*(Matches!$N$3:$N$502=B32)*(Matches!$O$3:$O$502="Completed"))+SUMPRODUCT((Matches!$B$3:$B$502=$B$3)*(Matches!$E$3:$E$502=B32)*(Matches!$N$3:$N$502=B32)*(Matches!$O$3:$O$502="Completed"))),"—")</f>
        <v/>
      </c>
      <c r="E32" s="22">
        <f>IFERROR(IF(B32="","",SUMPRODUCT((Matches!$B$3:$B$502=$B$3)*(Matches!$D$3:$D$502=B32)*(Matches!$N$3:$N$502="Draw")*(Matches!$O$3:$O$502="Completed"))+SUMPRODUCT((Matches!$B$3:$B$502=$B$3)*(Matches!$E$3:$E$502=B32)*(Matches!$N$3:$N$502="Draw")*(Matches!$O$3:$O$502="Completed"))),"—")</f>
        <v/>
      </c>
      <c r="F32" s="22">
        <f>IFERROR(IF(B32="","",IF(ISNUMBER(C32),C32-D32-E32,"—")),"—")</f>
        <v/>
      </c>
      <c r="G32" s="23">
        <f>IFERROR(IF(B32="","",IF(ISNUMBER(D32),D32*Setup!$B$8+E32*Setup!$B$9+F32*Setup!$B$10,"—")),"—")</f>
        <v/>
      </c>
      <c r="H32" s="22">
        <f>IFERROR(IF(B32="","",SUMPRODUCT((Matches!$B$3:$B$502=$B$3)*(Matches!$D$3:$D$502=B32)*(Matches!$O$3:$O$502="Completed")*IF(ISNUMBER(Matches!$L$3:$L$502),Matches!$L$3:$L$502,0))+SUMPRODUCT((Matches!$B$3:$B$502=$B$3)*(Matches!$E$3:$E$502=B32)*(Matches!$O$3:$O$502="Completed")*IF(ISNUMBER(Matches!$M$3:$M$502),Matches!$M$3:$M$502,0))),"—")</f>
        <v/>
      </c>
      <c r="I32" s="22">
        <f>IFERROR(IF(B32="","",SUMPRODUCT((Matches!$B$3:$B$502=$B$3)*(Matches!$D$3:$D$502=B32)*(Matches!$O$3:$O$502="Completed")*IF(ISNUMBER(Matches!$M$3:$M$502),Matches!$M$3:$M$502,0))+SUMPRODUCT((Matches!$B$3:$B$502=$B$3)*(Matches!$E$3:$E$502=B32)*(Matches!$O$3:$O$502="Completed")*IF(ISNUMBER(Matches!$L$3:$L$502),Matches!$L$3:$L$502,0))),"—")</f>
        <v/>
      </c>
      <c r="J32" s="24">
        <f>IFERROR(IF(B32="","",IF(ISNUMBER(H32),H32-I32,"—")),"—")</f>
        <v/>
      </c>
    </row>
    <row r="33">
      <c r="A33" s="25" t="n"/>
      <c r="B33" s="11">
        <f>IFERROR(INDEX(Teams!$B$3:$B$52,SMALL(IF(Teams!$A$3:$A$52="B",ROW(Teams!$A$3:$A$52)-ROW(Teams!$A$3)+1),2)),"")</f>
        <v/>
      </c>
      <c r="C33" s="26">
        <f>IFERROR(IF(B33="","",SUMPRODUCT((Matches!$B$3:$B$502=$B$3)*(Matches!$D$3:$D$502=B33)*(Matches!$O$3:$O$502="Completed"))+SUMPRODUCT((Matches!$B$3:$B$502=$B$3)*(Matches!$E$3:$E$502=B33)*(Matches!$O$3:$O$502="Completed"))),"—")</f>
        <v/>
      </c>
      <c r="D33" s="26">
        <f>IFERROR(IF(B33="","",SUMPRODUCT((Matches!$B$3:$B$502=$B$3)*(Matches!$D$3:$D$502=B33)*(Matches!$N$3:$N$502=B33)*(Matches!$O$3:$O$502="Completed"))+SUMPRODUCT((Matches!$B$3:$B$502=$B$3)*(Matches!$E$3:$E$502=B33)*(Matches!$N$3:$N$502=B33)*(Matches!$O$3:$O$502="Completed"))),"—")</f>
        <v/>
      </c>
      <c r="E33" s="26">
        <f>IFERROR(IF(B33="","",SUMPRODUCT((Matches!$B$3:$B$502=$B$3)*(Matches!$D$3:$D$502=B33)*(Matches!$N$3:$N$502="Draw")*(Matches!$O$3:$O$502="Completed"))+SUMPRODUCT((Matches!$B$3:$B$502=$B$3)*(Matches!$E$3:$E$502=B33)*(Matches!$N$3:$N$502="Draw")*(Matches!$O$3:$O$502="Completed"))),"—")</f>
        <v/>
      </c>
      <c r="F33" s="26">
        <f>IFERROR(IF(B33="","",IF(ISNUMBER(C33),C33-D33-E33,"—")),"—")</f>
        <v/>
      </c>
      <c r="G33" s="27">
        <f>IFERROR(IF(B33="","",IF(ISNUMBER(D33),D33*Setup!$B$8+E33*Setup!$B$9+F33*Setup!$B$10,"—")),"—")</f>
        <v/>
      </c>
      <c r="H33" s="26">
        <f>IFERROR(IF(B33="","",SUMPRODUCT((Matches!$B$3:$B$502=$B$3)*(Matches!$D$3:$D$502=B33)*(Matches!$O$3:$O$502="Completed")*IF(ISNUMBER(Matches!$L$3:$L$502),Matches!$L$3:$L$502,0))+SUMPRODUCT((Matches!$B$3:$B$502=$B$3)*(Matches!$E$3:$E$502=B33)*(Matches!$O$3:$O$502="Completed")*IF(ISNUMBER(Matches!$M$3:$M$502),Matches!$M$3:$M$502,0))),"—")</f>
        <v/>
      </c>
      <c r="I33" s="26">
        <f>IFERROR(IF(B33="","",SUMPRODUCT((Matches!$B$3:$B$502=$B$3)*(Matches!$D$3:$D$502=B33)*(Matches!$O$3:$O$502="Completed")*IF(ISNUMBER(Matches!$M$3:$M$502),Matches!$M$3:$M$502,0))+SUMPRODUCT((Matches!$B$3:$B$502=$B$3)*(Matches!$E$3:$E$502=B33)*(Matches!$O$3:$O$502="Completed")*IF(ISNUMBER(Matches!$L$3:$L$502),Matches!$L$3:$L$502,0))),"—")</f>
        <v/>
      </c>
      <c r="J33" s="28">
        <f>IFERROR(IF(B33="","",IF(ISNUMBER(H33),H33-I33,"—")),"—")</f>
        <v/>
      </c>
    </row>
    <row r="34">
      <c r="A34" s="21" t="n"/>
      <c r="B34" s="13">
        <f>IFERROR(INDEX(Teams!$B$3:$B$52,SMALL(IF(Teams!$A$3:$A$52="B",ROW(Teams!$A$3:$A$52)-ROW(Teams!$A$3)+1),3)),"")</f>
        <v/>
      </c>
      <c r="C34" s="22">
        <f>IFERROR(IF(B34="","",SUMPRODUCT((Matches!$B$3:$B$502=$B$3)*(Matches!$D$3:$D$502=B34)*(Matches!$O$3:$O$502="Completed"))+SUMPRODUCT((Matches!$B$3:$B$502=$B$3)*(Matches!$E$3:$E$502=B34)*(Matches!$O$3:$O$502="Completed"))),"—")</f>
        <v/>
      </c>
      <c r="D34" s="22">
        <f>IFERROR(IF(B34="","",SUMPRODUCT((Matches!$B$3:$B$502=$B$3)*(Matches!$D$3:$D$502=B34)*(Matches!$N$3:$N$502=B34)*(Matches!$O$3:$O$502="Completed"))+SUMPRODUCT((Matches!$B$3:$B$502=$B$3)*(Matches!$E$3:$E$502=B34)*(Matches!$N$3:$N$502=B34)*(Matches!$O$3:$O$502="Completed"))),"—")</f>
        <v/>
      </c>
      <c r="E34" s="22">
        <f>IFERROR(IF(B34="","",SUMPRODUCT((Matches!$B$3:$B$502=$B$3)*(Matches!$D$3:$D$502=B34)*(Matches!$N$3:$N$502="Draw")*(Matches!$O$3:$O$502="Completed"))+SUMPRODUCT((Matches!$B$3:$B$502=$B$3)*(Matches!$E$3:$E$502=B34)*(Matches!$N$3:$N$502="Draw")*(Matches!$O$3:$O$502="Completed"))),"—")</f>
        <v/>
      </c>
      <c r="F34" s="22">
        <f>IFERROR(IF(B34="","",IF(ISNUMBER(C34),C34-D34-E34,"—")),"—")</f>
        <v/>
      </c>
      <c r="G34" s="23">
        <f>IFERROR(IF(B34="","",IF(ISNUMBER(D34),D34*Setup!$B$8+E34*Setup!$B$9+F34*Setup!$B$10,"—")),"—")</f>
        <v/>
      </c>
      <c r="H34" s="22">
        <f>IFERROR(IF(B34="","",SUMPRODUCT((Matches!$B$3:$B$502=$B$3)*(Matches!$D$3:$D$502=B34)*(Matches!$O$3:$O$502="Completed")*IF(ISNUMBER(Matches!$L$3:$L$502),Matches!$L$3:$L$502,0))+SUMPRODUCT((Matches!$B$3:$B$502=$B$3)*(Matches!$E$3:$E$502=B34)*(Matches!$O$3:$O$502="Completed")*IF(ISNUMBER(Matches!$M$3:$M$502),Matches!$M$3:$M$502,0))),"—")</f>
        <v/>
      </c>
      <c r="I34" s="22">
        <f>IFERROR(IF(B34="","",SUMPRODUCT((Matches!$B$3:$B$502=$B$3)*(Matches!$D$3:$D$502=B34)*(Matches!$O$3:$O$502="Completed")*IF(ISNUMBER(Matches!$M$3:$M$502),Matches!$M$3:$M$502,0))+SUMPRODUCT((Matches!$B$3:$B$502=$B$3)*(Matches!$E$3:$E$502=B34)*(Matches!$O$3:$O$502="Completed")*IF(ISNUMBER(Matches!$L$3:$L$502),Matches!$L$3:$L$502,0))),"—")</f>
        <v/>
      </c>
      <c r="J34" s="24">
        <f>IFERROR(IF(B34="","",IF(ISNUMBER(H34),H34-I34,"—")),"—")</f>
        <v/>
      </c>
    </row>
    <row r="35">
      <c r="A35" s="25" t="n"/>
      <c r="B35" s="11">
        <f>IFERROR(INDEX(Teams!$B$3:$B$52,SMALL(IF(Teams!$A$3:$A$52="B",ROW(Teams!$A$3:$A$52)-ROW(Teams!$A$3)+1),4)),"")</f>
        <v/>
      </c>
      <c r="C35" s="26">
        <f>IFERROR(IF(B35="","",SUMPRODUCT((Matches!$B$3:$B$502=$B$3)*(Matches!$D$3:$D$502=B35)*(Matches!$O$3:$O$502="Completed"))+SUMPRODUCT((Matches!$B$3:$B$502=$B$3)*(Matches!$E$3:$E$502=B35)*(Matches!$O$3:$O$502="Completed"))),"—")</f>
        <v/>
      </c>
      <c r="D35" s="26">
        <f>IFERROR(IF(B35="","",SUMPRODUCT((Matches!$B$3:$B$502=$B$3)*(Matches!$D$3:$D$502=B35)*(Matches!$N$3:$N$502=B35)*(Matches!$O$3:$O$502="Completed"))+SUMPRODUCT((Matches!$B$3:$B$502=$B$3)*(Matches!$E$3:$E$502=B35)*(Matches!$N$3:$N$502=B35)*(Matches!$O$3:$O$502="Completed"))),"—")</f>
        <v/>
      </c>
      <c r="E35" s="26">
        <f>IFERROR(IF(B35="","",SUMPRODUCT((Matches!$B$3:$B$502=$B$3)*(Matches!$D$3:$D$502=B35)*(Matches!$N$3:$N$502="Draw")*(Matches!$O$3:$O$502="Completed"))+SUMPRODUCT((Matches!$B$3:$B$502=$B$3)*(Matches!$E$3:$E$502=B35)*(Matches!$N$3:$N$502="Draw")*(Matches!$O$3:$O$502="Completed"))),"—")</f>
        <v/>
      </c>
      <c r="F35" s="26">
        <f>IFERROR(IF(B35="","",IF(ISNUMBER(C35),C35-D35-E35,"—")),"—")</f>
        <v/>
      </c>
      <c r="G35" s="27">
        <f>IFERROR(IF(B35="","",IF(ISNUMBER(D35),D35*Setup!$B$8+E35*Setup!$B$9+F35*Setup!$B$10,"—")),"—")</f>
        <v/>
      </c>
      <c r="H35" s="26">
        <f>IFERROR(IF(B35="","",SUMPRODUCT((Matches!$B$3:$B$502=$B$3)*(Matches!$D$3:$D$502=B35)*(Matches!$O$3:$O$502="Completed")*IF(ISNUMBER(Matches!$L$3:$L$502),Matches!$L$3:$L$502,0))+SUMPRODUCT((Matches!$B$3:$B$502=$B$3)*(Matches!$E$3:$E$502=B35)*(Matches!$O$3:$O$502="Completed")*IF(ISNUMBER(Matches!$M$3:$M$502),Matches!$M$3:$M$502,0))),"—")</f>
        <v/>
      </c>
      <c r="I35" s="26">
        <f>IFERROR(IF(B35="","",SUMPRODUCT((Matches!$B$3:$B$502=$B$3)*(Matches!$D$3:$D$502=B35)*(Matches!$O$3:$O$502="Completed")*IF(ISNUMBER(Matches!$M$3:$M$502),Matches!$M$3:$M$502,0))+SUMPRODUCT((Matches!$B$3:$B$502=$B$3)*(Matches!$E$3:$E$502=B35)*(Matches!$O$3:$O$502="Completed")*IF(ISNUMBER(Matches!$L$3:$L$502),Matches!$L$3:$L$502,0))),"—")</f>
        <v/>
      </c>
      <c r="J35" s="28">
        <f>IFERROR(IF(B35="","",IF(ISNUMBER(H35),H35-I35,"—")),"—")</f>
        <v/>
      </c>
    </row>
    <row r="36">
      <c r="A36" s="21" t="n"/>
      <c r="B36" s="13">
        <f>IFERROR(INDEX(Teams!$B$3:$B$52,SMALL(IF(Teams!$A$3:$A$52="B",ROW(Teams!$A$3:$A$52)-ROW(Teams!$A$3)+1),5)),"")</f>
        <v/>
      </c>
      <c r="C36" s="22">
        <f>IFERROR(IF(B36="","",SUMPRODUCT((Matches!$B$3:$B$502=$B$3)*(Matches!$D$3:$D$502=B36)*(Matches!$O$3:$O$502="Completed"))+SUMPRODUCT((Matches!$B$3:$B$502=$B$3)*(Matches!$E$3:$E$502=B36)*(Matches!$O$3:$O$502="Completed"))),"—")</f>
        <v/>
      </c>
      <c r="D36" s="22">
        <f>IFERROR(IF(B36="","",SUMPRODUCT((Matches!$B$3:$B$502=$B$3)*(Matches!$D$3:$D$502=B36)*(Matches!$N$3:$N$502=B36)*(Matches!$O$3:$O$502="Completed"))+SUMPRODUCT((Matches!$B$3:$B$502=$B$3)*(Matches!$E$3:$E$502=B36)*(Matches!$N$3:$N$502=B36)*(Matches!$O$3:$O$502="Completed"))),"—")</f>
        <v/>
      </c>
      <c r="E36" s="22">
        <f>IFERROR(IF(B36="","",SUMPRODUCT((Matches!$B$3:$B$502=$B$3)*(Matches!$D$3:$D$502=B36)*(Matches!$N$3:$N$502="Draw")*(Matches!$O$3:$O$502="Completed"))+SUMPRODUCT((Matches!$B$3:$B$502=$B$3)*(Matches!$E$3:$E$502=B36)*(Matches!$N$3:$N$502="Draw")*(Matches!$O$3:$O$502="Completed"))),"—")</f>
        <v/>
      </c>
      <c r="F36" s="22">
        <f>IFERROR(IF(B36="","",IF(ISNUMBER(C36),C36-D36-E36,"—")),"—")</f>
        <v/>
      </c>
      <c r="G36" s="23">
        <f>IFERROR(IF(B36="","",IF(ISNUMBER(D36),D36*Setup!$B$8+E36*Setup!$B$9+F36*Setup!$B$10,"—")),"—")</f>
        <v/>
      </c>
      <c r="H36" s="22">
        <f>IFERROR(IF(B36="","",SUMPRODUCT((Matches!$B$3:$B$502=$B$3)*(Matches!$D$3:$D$502=B36)*(Matches!$O$3:$O$502="Completed")*IF(ISNUMBER(Matches!$L$3:$L$502),Matches!$L$3:$L$502,0))+SUMPRODUCT((Matches!$B$3:$B$502=$B$3)*(Matches!$E$3:$E$502=B36)*(Matches!$O$3:$O$502="Completed")*IF(ISNUMBER(Matches!$M$3:$M$502),Matches!$M$3:$M$502,0))),"—")</f>
        <v/>
      </c>
      <c r="I36" s="22">
        <f>IFERROR(IF(B36="","",SUMPRODUCT((Matches!$B$3:$B$502=$B$3)*(Matches!$D$3:$D$502=B36)*(Matches!$O$3:$O$502="Completed")*IF(ISNUMBER(Matches!$M$3:$M$502),Matches!$M$3:$M$502,0))+SUMPRODUCT((Matches!$B$3:$B$502=$B$3)*(Matches!$E$3:$E$502=B36)*(Matches!$O$3:$O$502="Completed")*IF(ISNUMBER(Matches!$L$3:$L$502),Matches!$L$3:$L$502,0))),"—")</f>
        <v/>
      </c>
      <c r="J36" s="24">
        <f>IFERROR(IF(B36="","",IF(ISNUMBER(H36),H36-I36,"—")),"—")</f>
        <v/>
      </c>
    </row>
    <row r="37">
      <c r="A37" s="25" t="n"/>
      <c r="B37" s="11">
        <f>IFERROR(INDEX(Teams!$B$3:$B$52,SMALL(IF(Teams!$A$3:$A$52="B",ROW(Teams!$A$3:$A$52)-ROW(Teams!$A$3)+1),6)),"")</f>
        <v/>
      </c>
      <c r="C37" s="26">
        <f>IFERROR(IF(B37="","",SUMPRODUCT((Matches!$B$3:$B$502=$B$3)*(Matches!$D$3:$D$502=B37)*(Matches!$O$3:$O$502="Completed"))+SUMPRODUCT((Matches!$B$3:$B$502=$B$3)*(Matches!$E$3:$E$502=B37)*(Matches!$O$3:$O$502="Completed"))),"—")</f>
        <v/>
      </c>
      <c r="D37" s="26">
        <f>IFERROR(IF(B37="","",SUMPRODUCT((Matches!$B$3:$B$502=$B$3)*(Matches!$D$3:$D$502=B37)*(Matches!$N$3:$N$502=B37)*(Matches!$O$3:$O$502="Completed"))+SUMPRODUCT((Matches!$B$3:$B$502=$B$3)*(Matches!$E$3:$E$502=B37)*(Matches!$N$3:$N$502=B37)*(Matches!$O$3:$O$502="Completed"))),"—")</f>
        <v/>
      </c>
      <c r="E37" s="26">
        <f>IFERROR(IF(B37="","",SUMPRODUCT((Matches!$B$3:$B$502=$B$3)*(Matches!$D$3:$D$502=B37)*(Matches!$N$3:$N$502="Draw")*(Matches!$O$3:$O$502="Completed"))+SUMPRODUCT((Matches!$B$3:$B$502=$B$3)*(Matches!$E$3:$E$502=B37)*(Matches!$N$3:$N$502="Draw")*(Matches!$O$3:$O$502="Completed"))),"—")</f>
        <v/>
      </c>
      <c r="F37" s="26">
        <f>IFERROR(IF(B37="","",IF(ISNUMBER(C37),C37-D37-E37,"—")),"—")</f>
        <v/>
      </c>
      <c r="G37" s="27">
        <f>IFERROR(IF(B37="","",IF(ISNUMBER(D37),D37*Setup!$B$8+E37*Setup!$B$9+F37*Setup!$B$10,"—")),"—")</f>
        <v/>
      </c>
      <c r="H37" s="26">
        <f>IFERROR(IF(B37="","",SUMPRODUCT((Matches!$B$3:$B$502=$B$3)*(Matches!$D$3:$D$502=B37)*(Matches!$O$3:$O$502="Completed")*IF(ISNUMBER(Matches!$L$3:$L$502),Matches!$L$3:$L$502,0))+SUMPRODUCT((Matches!$B$3:$B$502=$B$3)*(Matches!$E$3:$E$502=B37)*(Matches!$O$3:$O$502="Completed")*IF(ISNUMBER(Matches!$M$3:$M$502),Matches!$M$3:$M$502,0))),"—")</f>
        <v/>
      </c>
      <c r="I37" s="26">
        <f>IFERROR(IF(B37="","",SUMPRODUCT((Matches!$B$3:$B$502=$B$3)*(Matches!$D$3:$D$502=B37)*(Matches!$O$3:$O$502="Completed")*IF(ISNUMBER(Matches!$M$3:$M$502),Matches!$M$3:$M$502,0))+SUMPRODUCT((Matches!$B$3:$B$502=$B$3)*(Matches!$E$3:$E$502=B37)*(Matches!$O$3:$O$502="Completed")*IF(ISNUMBER(Matches!$L$3:$L$502),Matches!$L$3:$L$502,0))),"—")</f>
        <v/>
      </c>
      <c r="J37" s="28">
        <f>IFERROR(IF(B37="","",IF(ISNUMBER(H37),H37-I37,"—")),"—")</f>
        <v/>
      </c>
    </row>
    <row r="38">
      <c r="A38" s="21" t="n"/>
      <c r="B38" s="13">
        <f>IFERROR(INDEX(Teams!$B$3:$B$52,SMALL(IF(Teams!$A$3:$A$52="B",ROW(Teams!$A$3:$A$52)-ROW(Teams!$A$3)+1),7)),"")</f>
        <v/>
      </c>
      <c r="C38" s="22">
        <f>IFERROR(IF(B38="","",SUMPRODUCT((Matches!$B$3:$B$502=$B$3)*(Matches!$D$3:$D$502=B38)*(Matches!$O$3:$O$502="Completed"))+SUMPRODUCT((Matches!$B$3:$B$502=$B$3)*(Matches!$E$3:$E$502=B38)*(Matches!$O$3:$O$502="Completed"))),"—")</f>
        <v/>
      </c>
      <c r="D38" s="22">
        <f>IFERROR(IF(B38="","",SUMPRODUCT((Matches!$B$3:$B$502=$B$3)*(Matches!$D$3:$D$502=B38)*(Matches!$N$3:$N$502=B38)*(Matches!$O$3:$O$502="Completed"))+SUMPRODUCT((Matches!$B$3:$B$502=$B$3)*(Matches!$E$3:$E$502=B38)*(Matches!$N$3:$N$502=B38)*(Matches!$O$3:$O$502="Completed"))),"—")</f>
        <v/>
      </c>
      <c r="E38" s="22">
        <f>IFERROR(IF(B38="","",SUMPRODUCT((Matches!$B$3:$B$502=$B$3)*(Matches!$D$3:$D$502=B38)*(Matches!$N$3:$N$502="Draw")*(Matches!$O$3:$O$502="Completed"))+SUMPRODUCT((Matches!$B$3:$B$502=$B$3)*(Matches!$E$3:$E$502=B38)*(Matches!$N$3:$N$502="Draw")*(Matches!$O$3:$O$502="Completed"))),"—")</f>
        <v/>
      </c>
      <c r="F38" s="22">
        <f>IFERROR(IF(B38="","",IF(ISNUMBER(C38),C38-D38-E38,"—")),"—")</f>
        <v/>
      </c>
      <c r="G38" s="23">
        <f>IFERROR(IF(B38="","",IF(ISNUMBER(D38),D38*Setup!$B$8+E38*Setup!$B$9+F38*Setup!$B$10,"—")),"—")</f>
        <v/>
      </c>
      <c r="H38" s="22">
        <f>IFERROR(IF(B38="","",SUMPRODUCT((Matches!$B$3:$B$502=$B$3)*(Matches!$D$3:$D$502=B38)*(Matches!$O$3:$O$502="Completed")*IF(ISNUMBER(Matches!$L$3:$L$502),Matches!$L$3:$L$502,0))+SUMPRODUCT((Matches!$B$3:$B$502=$B$3)*(Matches!$E$3:$E$502=B38)*(Matches!$O$3:$O$502="Completed")*IF(ISNUMBER(Matches!$M$3:$M$502),Matches!$M$3:$M$502,0))),"—")</f>
        <v/>
      </c>
      <c r="I38" s="22">
        <f>IFERROR(IF(B38="","",SUMPRODUCT((Matches!$B$3:$B$502=$B$3)*(Matches!$D$3:$D$502=B38)*(Matches!$O$3:$O$502="Completed")*IF(ISNUMBER(Matches!$M$3:$M$502),Matches!$M$3:$M$502,0))+SUMPRODUCT((Matches!$B$3:$B$502=$B$3)*(Matches!$E$3:$E$502=B38)*(Matches!$O$3:$O$502="Completed")*IF(ISNUMBER(Matches!$L$3:$L$502),Matches!$L$3:$L$502,0))),"—")</f>
        <v/>
      </c>
      <c r="J38" s="24">
        <f>IFERROR(IF(B38="","",IF(ISNUMBER(H38),H38-I38,"—")),"—")</f>
        <v/>
      </c>
    </row>
    <row r="39">
      <c r="A39" s="25" t="n"/>
      <c r="B39" s="11">
        <f>IFERROR(INDEX(Teams!$B$3:$B$52,SMALL(IF(Teams!$A$3:$A$52="B",ROW(Teams!$A$3:$A$52)-ROW(Teams!$A$3)+1),8)),"")</f>
        <v/>
      </c>
      <c r="C39" s="26">
        <f>IFERROR(IF(B39="","",SUMPRODUCT((Matches!$B$3:$B$502=$B$3)*(Matches!$D$3:$D$502=B39)*(Matches!$O$3:$O$502="Completed"))+SUMPRODUCT((Matches!$B$3:$B$502=$B$3)*(Matches!$E$3:$E$502=B39)*(Matches!$O$3:$O$502="Completed"))),"—")</f>
        <v/>
      </c>
      <c r="D39" s="26">
        <f>IFERROR(IF(B39="","",SUMPRODUCT((Matches!$B$3:$B$502=$B$3)*(Matches!$D$3:$D$502=B39)*(Matches!$N$3:$N$502=B39)*(Matches!$O$3:$O$502="Completed"))+SUMPRODUCT((Matches!$B$3:$B$502=$B$3)*(Matches!$E$3:$E$502=B39)*(Matches!$N$3:$N$502=B39)*(Matches!$O$3:$O$502="Completed"))),"—")</f>
        <v/>
      </c>
      <c r="E39" s="26">
        <f>IFERROR(IF(B39="","",SUMPRODUCT((Matches!$B$3:$B$502=$B$3)*(Matches!$D$3:$D$502=B39)*(Matches!$N$3:$N$502="Draw")*(Matches!$O$3:$O$502="Completed"))+SUMPRODUCT((Matches!$B$3:$B$502=$B$3)*(Matches!$E$3:$E$502=B39)*(Matches!$N$3:$N$502="Draw")*(Matches!$O$3:$O$502="Completed"))),"—")</f>
        <v/>
      </c>
      <c r="F39" s="26">
        <f>IFERROR(IF(B39="","",IF(ISNUMBER(C39),C39-D39-E39,"—")),"—")</f>
        <v/>
      </c>
      <c r="G39" s="27">
        <f>IFERROR(IF(B39="","",IF(ISNUMBER(D39),D39*Setup!$B$8+E39*Setup!$B$9+F39*Setup!$B$10,"—")),"—")</f>
        <v/>
      </c>
      <c r="H39" s="26">
        <f>IFERROR(IF(B39="","",SUMPRODUCT((Matches!$B$3:$B$502=$B$3)*(Matches!$D$3:$D$502=B39)*(Matches!$O$3:$O$502="Completed")*IF(ISNUMBER(Matches!$L$3:$L$502),Matches!$L$3:$L$502,0))+SUMPRODUCT((Matches!$B$3:$B$502=$B$3)*(Matches!$E$3:$E$502=B39)*(Matches!$O$3:$O$502="Completed")*IF(ISNUMBER(Matches!$M$3:$M$502),Matches!$M$3:$M$502,0))),"—")</f>
        <v/>
      </c>
      <c r="I39" s="26">
        <f>IFERROR(IF(B39="","",SUMPRODUCT((Matches!$B$3:$B$502=$B$3)*(Matches!$D$3:$D$502=B39)*(Matches!$O$3:$O$502="Completed")*IF(ISNUMBER(Matches!$M$3:$M$502),Matches!$M$3:$M$502,0))+SUMPRODUCT((Matches!$B$3:$B$502=$B$3)*(Matches!$E$3:$E$502=B39)*(Matches!$O$3:$O$502="Completed")*IF(ISNUMBER(Matches!$L$3:$L$502),Matches!$L$3:$L$502,0))),"—")</f>
        <v/>
      </c>
      <c r="J39" s="28">
        <f>IFERROR(IF(B39="","",IF(ISNUMBER(H39),H39-I39,"—")),"—")</f>
        <v/>
      </c>
    </row>
    <row r="40">
      <c r="A40" s="21" t="n"/>
      <c r="B40" s="13">
        <f>IFERROR(INDEX(Teams!$B$3:$B$52,SMALL(IF(Teams!$A$3:$A$52="B",ROW(Teams!$A$3:$A$52)-ROW(Teams!$A$3)+1),9)),"")</f>
        <v/>
      </c>
      <c r="C40" s="22">
        <f>IFERROR(IF(B40="","",SUMPRODUCT((Matches!$B$3:$B$502=$B$3)*(Matches!$D$3:$D$502=B40)*(Matches!$O$3:$O$502="Completed"))+SUMPRODUCT((Matches!$B$3:$B$502=$B$3)*(Matches!$E$3:$E$502=B40)*(Matches!$O$3:$O$502="Completed"))),"—")</f>
        <v/>
      </c>
      <c r="D40" s="22">
        <f>IFERROR(IF(B40="","",SUMPRODUCT((Matches!$B$3:$B$502=$B$3)*(Matches!$D$3:$D$502=B40)*(Matches!$N$3:$N$502=B40)*(Matches!$O$3:$O$502="Completed"))+SUMPRODUCT((Matches!$B$3:$B$502=$B$3)*(Matches!$E$3:$E$502=B40)*(Matches!$N$3:$N$502=B40)*(Matches!$O$3:$O$502="Completed"))),"—")</f>
        <v/>
      </c>
      <c r="E40" s="22">
        <f>IFERROR(IF(B40="","",SUMPRODUCT((Matches!$B$3:$B$502=$B$3)*(Matches!$D$3:$D$502=B40)*(Matches!$N$3:$N$502="Draw")*(Matches!$O$3:$O$502="Completed"))+SUMPRODUCT((Matches!$B$3:$B$502=$B$3)*(Matches!$E$3:$E$502=B40)*(Matches!$N$3:$N$502="Draw")*(Matches!$O$3:$O$502="Completed"))),"—")</f>
        <v/>
      </c>
      <c r="F40" s="22">
        <f>IFERROR(IF(B40="","",IF(ISNUMBER(C40),C40-D40-E40,"—")),"—")</f>
        <v/>
      </c>
      <c r="G40" s="23">
        <f>IFERROR(IF(B40="","",IF(ISNUMBER(D40),D40*Setup!$B$8+E40*Setup!$B$9+F40*Setup!$B$10,"—")),"—")</f>
        <v/>
      </c>
      <c r="H40" s="22">
        <f>IFERROR(IF(B40="","",SUMPRODUCT((Matches!$B$3:$B$502=$B$3)*(Matches!$D$3:$D$502=B40)*(Matches!$O$3:$O$502="Completed")*IF(ISNUMBER(Matches!$L$3:$L$502),Matches!$L$3:$L$502,0))+SUMPRODUCT((Matches!$B$3:$B$502=$B$3)*(Matches!$E$3:$E$502=B40)*(Matches!$O$3:$O$502="Completed")*IF(ISNUMBER(Matches!$M$3:$M$502),Matches!$M$3:$M$502,0))),"—")</f>
        <v/>
      </c>
      <c r="I40" s="22">
        <f>IFERROR(IF(B40="","",SUMPRODUCT((Matches!$B$3:$B$502=$B$3)*(Matches!$D$3:$D$502=B40)*(Matches!$O$3:$O$502="Completed")*IF(ISNUMBER(Matches!$M$3:$M$502),Matches!$M$3:$M$502,0))+SUMPRODUCT((Matches!$B$3:$B$502=$B$3)*(Matches!$E$3:$E$502=B40)*(Matches!$O$3:$O$502="Completed")*IF(ISNUMBER(Matches!$L$3:$L$502),Matches!$L$3:$L$502,0))),"—")</f>
        <v/>
      </c>
      <c r="J40" s="24">
        <f>IFERROR(IF(B40="","",IF(ISNUMBER(H40),H40-I40,"—")),"—")</f>
        <v/>
      </c>
    </row>
    <row r="41">
      <c r="A41" s="25" t="n"/>
      <c r="B41" s="11">
        <f>IFERROR(INDEX(Teams!$B$3:$B$52,SMALL(IF(Teams!$A$3:$A$52="B",ROW(Teams!$A$3:$A$52)-ROW(Teams!$A$3)+1),10)),"")</f>
        <v/>
      </c>
      <c r="C41" s="26">
        <f>IFERROR(IF(B41="","",SUMPRODUCT((Matches!$B$3:$B$502=$B$3)*(Matches!$D$3:$D$502=B41)*(Matches!$O$3:$O$502="Completed"))+SUMPRODUCT((Matches!$B$3:$B$502=$B$3)*(Matches!$E$3:$E$502=B41)*(Matches!$O$3:$O$502="Completed"))),"—")</f>
        <v/>
      </c>
      <c r="D41" s="26">
        <f>IFERROR(IF(B41="","",SUMPRODUCT((Matches!$B$3:$B$502=$B$3)*(Matches!$D$3:$D$502=B41)*(Matches!$N$3:$N$502=B41)*(Matches!$O$3:$O$502="Completed"))+SUMPRODUCT((Matches!$B$3:$B$502=$B$3)*(Matches!$E$3:$E$502=B41)*(Matches!$N$3:$N$502=B41)*(Matches!$O$3:$O$502="Completed"))),"—")</f>
        <v/>
      </c>
      <c r="E41" s="26">
        <f>IFERROR(IF(B41="","",SUMPRODUCT((Matches!$B$3:$B$502=$B$3)*(Matches!$D$3:$D$502=B41)*(Matches!$N$3:$N$502="Draw")*(Matches!$O$3:$O$502="Completed"))+SUMPRODUCT((Matches!$B$3:$B$502=$B$3)*(Matches!$E$3:$E$502=B41)*(Matches!$N$3:$N$502="Draw")*(Matches!$O$3:$O$502="Completed"))),"—")</f>
        <v/>
      </c>
      <c r="F41" s="26">
        <f>IFERROR(IF(B41="","",IF(ISNUMBER(C41),C41-D41-E41,"—")),"—")</f>
        <v/>
      </c>
      <c r="G41" s="27">
        <f>IFERROR(IF(B41="","",IF(ISNUMBER(D41),D41*Setup!$B$8+E41*Setup!$B$9+F41*Setup!$B$10,"—")),"—")</f>
        <v/>
      </c>
      <c r="H41" s="26">
        <f>IFERROR(IF(B41="","",SUMPRODUCT((Matches!$B$3:$B$502=$B$3)*(Matches!$D$3:$D$502=B41)*(Matches!$O$3:$O$502="Completed")*IF(ISNUMBER(Matches!$L$3:$L$502),Matches!$L$3:$L$502,0))+SUMPRODUCT((Matches!$B$3:$B$502=$B$3)*(Matches!$E$3:$E$502=B41)*(Matches!$O$3:$O$502="Completed")*IF(ISNUMBER(Matches!$M$3:$M$502),Matches!$M$3:$M$502,0))),"—")</f>
        <v/>
      </c>
      <c r="I41" s="26">
        <f>IFERROR(IF(B41="","",SUMPRODUCT((Matches!$B$3:$B$502=$B$3)*(Matches!$D$3:$D$502=B41)*(Matches!$O$3:$O$502="Completed")*IF(ISNUMBER(Matches!$M$3:$M$502),Matches!$M$3:$M$502,0))+SUMPRODUCT((Matches!$B$3:$B$502=$B$3)*(Matches!$E$3:$E$502=B41)*(Matches!$O$3:$O$502="Completed")*IF(ISNUMBER(Matches!$L$3:$L$502),Matches!$L$3:$L$502,0))),"—")</f>
        <v/>
      </c>
      <c r="J41" s="28">
        <f>IFERROR(IF(B41="","",IF(ISNUMBER(H41),H41-I41,"—")),"—")</f>
        <v/>
      </c>
    </row>
    <row r="42">
      <c r="A42" s="21" t="n"/>
      <c r="B42" s="13">
        <f>IFERROR(INDEX(Teams!$B$3:$B$52,SMALL(IF(Teams!$A$3:$A$52="B",ROW(Teams!$A$3:$A$52)-ROW(Teams!$A$3)+1),11)),"")</f>
        <v/>
      </c>
      <c r="C42" s="22">
        <f>IFERROR(IF(B42="","",SUMPRODUCT((Matches!$B$3:$B$502=$B$3)*(Matches!$D$3:$D$502=B42)*(Matches!$O$3:$O$502="Completed"))+SUMPRODUCT((Matches!$B$3:$B$502=$B$3)*(Matches!$E$3:$E$502=B42)*(Matches!$O$3:$O$502="Completed"))),"—")</f>
        <v/>
      </c>
      <c r="D42" s="22">
        <f>IFERROR(IF(B42="","",SUMPRODUCT((Matches!$B$3:$B$502=$B$3)*(Matches!$D$3:$D$502=B42)*(Matches!$N$3:$N$502=B42)*(Matches!$O$3:$O$502="Completed"))+SUMPRODUCT((Matches!$B$3:$B$502=$B$3)*(Matches!$E$3:$E$502=B42)*(Matches!$N$3:$N$502=B42)*(Matches!$O$3:$O$502="Completed"))),"—")</f>
        <v/>
      </c>
      <c r="E42" s="22">
        <f>IFERROR(IF(B42="","",SUMPRODUCT((Matches!$B$3:$B$502=$B$3)*(Matches!$D$3:$D$502=B42)*(Matches!$N$3:$N$502="Draw")*(Matches!$O$3:$O$502="Completed"))+SUMPRODUCT((Matches!$B$3:$B$502=$B$3)*(Matches!$E$3:$E$502=B42)*(Matches!$N$3:$N$502="Draw")*(Matches!$O$3:$O$502="Completed"))),"—")</f>
        <v/>
      </c>
      <c r="F42" s="22">
        <f>IFERROR(IF(B42="","",IF(ISNUMBER(C42),C42-D42-E42,"—")),"—")</f>
        <v/>
      </c>
      <c r="G42" s="23">
        <f>IFERROR(IF(B42="","",IF(ISNUMBER(D42),D42*Setup!$B$8+E42*Setup!$B$9+F42*Setup!$B$10,"—")),"—")</f>
        <v/>
      </c>
      <c r="H42" s="22">
        <f>IFERROR(IF(B42="","",SUMPRODUCT((Matches!$B$3:$B$502=$B$3)*(Matches!$D$3:$D$502=B42)*(Matches!$O$3:$O$502="Completed")*IF(ISNUMBER(Matches!$L$3:$L$502),Matches!$L$3:$L$502,0))+SUMPRODUCT((Matches!$B$3:$B$502=$B$3)*(Matches!$E$3:$E$502=B42)*(Matches!$O$3:$O$502="Completed")*IF(ISNUMBER(Matches!$M$3:$M$502),Matches!$M$3:$M$502,0))),"—")</f>
        <v/>
      </c>
      <c r="I42" s="22">
        <f>IFERROR(IF(B42="","",SUMPRODUCT((Matches!$B$3:$B$502=$B$3)*(Matches!$D$3:$D$502=B42)*(Matches!$O$3:$O$502="Completed")*IF(ISNUMBER(Matches!$M$3:$M$502),Matches!$M$3:$M$502,0))+SUMPRODUCT((Matches!$B$3:$B$502=$B$3)*(Matches!$E$3:$E$502=B42)*(Matches!$O$3:$O$502="Completed")*IF(ISNUMBER(Matches!$L$3:$L$502),Matches!$L$3:$L$502,0))),"—")</f>
        <v/>
      </c>
      <c r="J42" s="24">
        <f>IFERROR(IF(B42="","",IF(ISNUMBER(H42),H42-I42,"—")),"—")</f>
        <v/>
      </c>
    </row>
    <row r="43">
      <c r="A43" s="25" t="n"/>
      <c r="B43" s="11">
        <f>IFERROR(INDEX(Teams!$B$3:$B$52,SMALL(IF(Teams!$A$3:$A$52="B",ROW(Teams!$A$3:$A$52)-ROW(Teams!$A$3)+1),12)),"")</f>
        <v/>
      </c>
      <c r="C43" s="26">
        <f>IFERROR(IF(B43="","",SUMPRODUCT((Matches!$B$3:$B$502=$B$3)*(Matches!$D$3:$D$502=B43)*(Matches!$O$3:$O$502="Completed"))+SUMPRODUCT((Matches!$B$3:$B$502=$B$3)*(Matches!$E$3:$E$502=B43)*(Matches!$O$3:$O$502="Completed"))),"—")</f>
        <v/>
      </c>
      <c r="D43" s="26">
        <f>IFERROR(IF(B43="","",SUMPRODUCT((Matches!$B$3:$B$502=$B$3)*(Matches!$D$3:$D$502=B43)*(Matches!$N$3:$N$502=B43)*(Matches!$O$3:$O$502="Completed"))+SUMPRODUCT((Matches!$B$3:$B$502=$B$3)*(Matches!$E$3:$E$502=B43)*(Matches!$N$3:$N$502=B43)*(Matches!$O$3:$O$502="Completed"))),"—")</f>
        <v/>
      </c>
      <c r="E43" s="26">
        <f>IFERROR(IF(B43="","",SUMPRODUCT((Matches!$B$3:$B$502=$B$3)*(Matches!$D$3:$D$502=B43)*(Matches!$N$3:$N$502="Draw")*(Matches!$O$3:$O$502="Completed"))+SUMPRODUCT((Matches!$B$3:$B$502=$B$3)*(Matches!$E$3:$E$502=B43)*(Matches!$N$3:$N$502="Draw")*(Matches!$O$3:$O$502="Completed"))),"—")</f>
        <v/>
      </c>
      <c r="F43" s="26">
        <f>IFERROR(IF(B43="","",IF(ISNUMBER(C43),C43-D43-E43,"—")),"—")</f>
        <v/>
      </c>
      <c r="G43" s="27">
        <f>IFERROR(IF(B43="","",IF(ISNUMBER(D43),D43*Setup!$B$8+E43*Setup!$B$9+F43*Setup!$B$10,"—")),"—")</f>
        <v/>
      </c>
      <c r="H43" s="26">
        <f>IFERROR(IF(B43="","",SUMPRODUCT((Matches!$B$3:$B$502=$B$3)*(Matches!$D$3:$D$502=B43)*(Matches!$O$3:$O$502="Completed")*IF(ISNUMBER(Matches!$L$3:$L$502),Matches!$L$3:$L$502,0))+SUMPRODUCT((Matches!$B$3:$B$502=$B$3)*(Matches!$E$3:$E$502=B43)*(Matches!$O$3:$O$502="Completed")*IF(ISNUMBER(Matches!$M$3:$M$502),Matches!$M$3:$M$502,0))),"—")</f>
        <v/>
      </c>
      <c r="I43" s="26">
        <f>IFERROR(IF(B43="","",SUMPRODUCT((Matches!$B$3:$B$502=$B$3)*(Matches!$D$3:$D$502=B43)*(Matches!$O$3:$O$502="Completed")*IF(ISNUMBER(Matches!$M$3:$M$502),Matches!$M$3:$M$502,0))+SUMPRODUCT((Matches!$B$3:$B$502=$B$3)*(Matches!$E$3:$E$502=B43)*(Matches!$O$3:$O$502="Completed")*IF(ISNUMBER(Matches!$L$3:$L$502),Matches!$L$3:$L$502,0))),"—")</f>
        <v/>
      </c>
      <c r="J43" s="28">
        <f>IFERROR(IF(B43="","",IF(ISNUMBER(H43),H43-I43,"—")),"—")</f>
        <v/>
      </c>
    </row>
    <row r="44">
      <c r="A44" s="21" t="n"/>
      <c r="B44" s="13">
        <f>IFERROR(INDEX(Teams!$B$3:$B$52,SMALL(IF(Teams!$A$3:$A$52="B",ROW(Teams!$A$3:$A$52)-ROW(Teams!$A$3)+1),13)),"")</f>
        <v/>
      </c>
      <c r="C44" s="22">
        <f>IFERROR(IF(B44="","",SUMPRODUCT((Matches!$B$3:$B$502=$B$3)*(Matches!$D$3:$D$502=B44)*(Matches!$O$3:$O$502="Completed"))+SUMPRODUCT((Matches!$B$3:$B$502=$B$3)*(Matches!$E$3:$E$502=B44)*(Matches!$O$3:$O$502="Completed"))),"—")</f>
        <v/>
      </c>
      <c r="D44" s="22">
        <f>IFERROR(IF(B44="","",SUMPRODUCT((Matches!$B$3:$B$502=$B$3)*(Matches!$D$3:$D$502=B44)*(Matches!$N$3:$N$502=B44)*(Matches!$O$3:$O$502="Completed"))+SUMPRODUCT((Matches!$B$3:$B$502=$B$3)*(Matches!$E$3:$E$502=B44)*(Matches!$N$3:$N$502=B44)*(Matches!$O$3:$O$502="Completed"))),"—")</f>
        <v/>
      </c>
      <c r="E44" s="22">
        <f>IFERROR(IF(B44="","",SUMPRODUCT((Matches!$B$3:$B$502=$B$3)*(Matches!$D$3:$D$502=B44)*(Matches!$N$3:$N$502="Draw")*(Matches!$O$3:$O$502="Completed"))+SUMPRODUCT((Matches!$B$3:$B$502=$B$3)*(Matches!$E$3:$E$502=B44)*(Matches!$N$3:$N$502="Draw")*(Matches!$O$3:$O$502="Completed"))),"—")</f>
        <v/>
      </c>
      <c r="F44" s="22">
        <f>IFERROR(IF(B44="","",IF(ISNUMBER(C44),C44-D44-E44,"—")),"—")</f>
        <v/>
      </c>
      <c r="G44" s="23">
        <f>IFERROR(IF(B44="","",IF(ISNUMBER(D44),D44*Setup!$B$8+E44*Setup!$B$9+F44*Setup!$B$10,"—")),"—")</f>
        <v/>
      </c>
      <c r="H44" s="22">
        <f>IFERROR(IF(B44="","",SUMPRODUCT((Matches!$B$3:$B$502=$B$3)*(Matches!$D$3:$D$502=B44)*(Matches!$O$3:$O$502="Completed")*IF(ISNUMBER(Matches!$L$3:$L$502),Matches!$L$3:$L$502,0))+SUMPRODUCT((Matches!$B$3:$B$502=$B$3)*(Matches!$E$3:$E$502=B44)*(Matches!$O$3:$O$502="Completed")*IF(ISNUMBER(Matches!$M$3:$M$502),Matches!$M$3:$M$502,0))),"—")</f>
        <v/>
      </c>
      <c r="I44" s="22">
        <f>IFERROR(IF(B44="","",SUMPRODUCT((Matches!$B$3:$B$502=$B$3)*(Matches!$D$3:$D$502=B44)*(Matches!$O$3:$O$502="Completed")*IF(ISNUMBER(Matches!$M$3:$M$502),Matches!$M$3:$M$502,0))+SUMPRODUCT((Matches!$B$3:$B$502=$B$3)*(Matches!$E$3:$E$502=B44)*(Matches!$O$3:$O$502="Completed")*IF(ISNUMBER(Matches!$L$3:$L$502),Matches!$L$3:$L$502,0))),"—")</f>
        <v/>
      </c>
      <c r="J44" s="24">
        <f>IFERROR(IF(B44="","",IF(ISNUMBER(H44),H44-I44,"—")),"—")</f>
        <v/>
      </c>
    </row>
    <row r="45">
      <c r="A45" s="25" t="n"/>
      <c r="B45" s="11">
        <f>IFERROR(INDEX(Teams!$B$3:$B$52,SMALL(IF(Teams!$A$3:$A$52="B",ROW(Teams!$A$3:$A$52)-ROW(Teams!$A$3)+1),14)),"")</f>
        <v/>
      </c>
      <c r="C45" s="26">
        <f>IFERROR(IF(B45="","",SUMPRODUCT((Matches!$B$3:$B$502=$B$3)*(Matches!$D$3:$D$502=B45)*(Matches!$O$3:$O$502="Completed"))+SUMPRODUCT((Matches!$B$3:$B$502=$B$3)*(Matches!$E$3:$E$502=B45)*(Matches!$O$3:$O$502="Completed"))),"—")</f>
        <v/>
      </c>
      <c r="D45" s="26">
        <f>IFERROR(IF(B45="","",SUMPRODUCT((Matches!$B$3:$B$502=$B$3)*(Matches!$D$3:$D$502=B45)*(Matches!$N$3:$N$502=B45)*(Matches!$O$3:$O$502="Completed"))+SUMPRODUCT((Matches!$B$3:$B$502=$B$3)*(Matches!$E$3:$E$502=B45)*(Matches!$N$3:$N$502=B45)*(Matches!$O$3:$O$502="Completed"))),"—")</f>
        <v/>
      </c>
      <c r="E45" s="26">
        <f>IFERROR(IF(B45="","",SUMPRODUCT((Matches!$B$3:$B$502=$B$3)*(Matches!$D$3:$D$502=B45)*(Matches!$N$3:$N$502="Draw")*(Matches!$O$3:$O$502="Completed"))+SUMPRODUCT((Matches!$B$3:$B$502=$B$3)*(Matches!$E$3:$E$502=B45)*(Matches!$N$3:$N$502="Draw")*(Matches!$O$3:$O$502="Completed"))),"—")</f>
        <v/>
      </c>
      <c r="F45" s="26">
        <f>IFERROR(IF(B45="","",IF(ISNUMBER(C45),C45-D45-E45,"—")),"—")</f>
        <v/>
      </c>
      <c r="G45" s="27">
        <f>IFERROR(IF(B45="","",IF(ISNUMBER(D45),D45*Setup!$B$8+E45*Setup!$B$9+F45*Setup!$B$10,"—")),"—")</f>
        <v/>
      </c>
      <c r="H45" s="26">
        <f>IFERROR(IF(B45="","",SUMPRODUCT((Matches!$B$3:$B$502=$B$3)*(Matches!$D$3:$D$502=B45)*(Matches!$O$3:$O$502="Completed")*IF(ISNUMBER(Matches!$L$3:$L$502),Matches!$L$3:$L$502,0))+SUMPRODUCT((Matches!$B$3:$B$502=$B$3)*(Matches!$E$3:$E$502=B45)*(Matches!$O$3:$O$502="Completed")*IF(ISNUMBER(Matches!$M$3:$M$502),Matches!$M$3:$M$502,0))),"—")</f>
        <v/>
      </c>
      <c r="I45" s="26">
        <f>IFERROR(IF(B45="","",SUMPRODUCT((Matches!$B$3:$B$502=$B$3)*(Matches!$D$3:$D$502=B45)*(Matches!$O$3:$O$502="Completed")*IF(ISNUMBER(Matches!$M$3:$M$502),Matches!$M$3:$M$502,0))+SUMPRODUCT((Matches!$B$3:$B$502=$B$3)*(Matches!$E$3:$E$502=B45)*(Matches!$O$3:$O$502="Completed")*IF(ISNUMBER(Matches!$L$3:$L$502),Matches!$L$3:$L$502,0))),"—")</f>
        <v/>
      </c>
      <c r="J45" s="28">
        <f>IFERROR(IF(B45="","",IF(ISNUMBER(H45),H45-I45,"—")),"—")</f>
        <v/>
      </c>
    </row>
    <row r="46">
      <c r="A46" s="21" t="n"/>
      <c r="B46" s="13">
        <f>IFERROR(INDEX(Teams!$B$3:$B$52,SMALL(IF(Teams!$A$3:$A$52="B",ROW(Teams!$A$3:$A$52)-ROW(Teams!$A$3)+1),15)),"")</f>
        <v/>
      </c>
      <c r="C46" s="22">
        <f>IFERROR(IF(B46="","",SUMPRODUCT((Matches!$B$3:$B$502=$B$3)*(Matches!$D$3:$D$502=B46)*(Matches!$O$3:$O$502="Completed"))+SUMPRODUCT((Matches!$B$3:$B$502=$B$3)*(Matches!$E$3:$E$502=B46)*(Matches!$O$3:$O$502="Completed"))),"—")</f>
        <v/>
      </c>
      <c r="D46" s="22">
        <f>IFERROR(IF(B46="","",SUMPRODUCT((Matches!$B$3:$B$502=$B$3)*(Matches!$D$3:$D$502=B46)*(Matches!$N$3:$N$502=B46)*(Matches!$O$3:$O$502="Completed"))+SUMPRODUCT((Matches!$B$3:$B$502=$B$3)*(Matches!$E$3:$E$502=B46)*(Matches!$N$3:$N$502=B46)*(Matches!$O$3:$O$502="Completed"))),"—")</f>
        <v/>
      </c>
      <c r="E46" s="22">
        <f>IFERROR(IF(B46="","",SUMPRODUCT((Matches!$B$3:$B$502=$B$3)*(Matches!$D$3:$D$502=B46)*(Matches!$N$3:$N$502="Draw")*(Matches!$O$3:$O$502="Completed"))+SUMPRODUCT((Matches!$B$3:$B$502=$B$3)*(Matches!$E$3:$E$502=B46)*(Matches!$N$3:$N$502="Draw")*(Matches!$O$3:$O$502="Completed"))),"—")</f>
        <v/>
      </c>
      <c r="F46" s="22">
        <f>IFERROR(IF(B46="","",IF(ISNUMBER(C46),C46-D46-E46,"—")),"—")</f>
        <v/>
      </c>
      <c r="G46" s="23">
        <f>IFERROR(IF(B46="","",IF(ISNUMBER(D46),D46*Setup!$B$8+E46*Setup!$B$9+F46*Setup!$B$10,"—")),"—")</f>
        <v/>
      </c>
      <c r="H46" s="22">
        <f>IFERROR(IF(B46="","",SUMPRODUCT((Matches!$B$3:$B$502=$B$3)*(Matches!$D$3:$D$502=B46)*(Matches!$O$3:$O$502="Completed")*IF(ISNUMBER(Matches!$L$3:$L$502),Matches!$L$3:$L$502,0))+SUMPRODUCT((Matches!$B$3:$B$502=$B$3)*(Matches!$E$3:$E$502=B46)*(Matches!$O$3:$O$502="Completed")*IF(ISNUMBER(Matches!$M$3:$M$502),Matches!$M$3:$M$502,0))),"—")</f>
        <v/>
      </c>
      <c r="I46" s="22">
        <f>IFERROR(IF(B46="","",SUMPRODUCT((Matches!$B$3:$B$502=$B$3)*(Matches!$D$3:$D$502=B46)*(Matches!$O$3:$O$502="Completed")*IF(ISNUMBER(Matches!$M$3:$M$502),Matches!$M$3:$M$502,0))+SUMPRODUCT((Matches!$B$3:$B$502=$B$3)*(Matches!$E$3:$E$502=B46)*(Matches!$O$3:$O$502="Completed")*IF(ISNUMBER(Matches!$L$3:$L$502),Matches!$L$3:$L$502,0))),"—")</f>
        <v/>
      </c>
      <c r="J46" s="24">
        <f>IFERROR(IF(B46="","",IF(ISNUMBER(H46),H46-I46,"—")),"—")</f>
        <v/>
      </c>
    </row>
    <row r="47">
      <c r="A47" s="25" t="n"/>
      <c r="B47" s="11">
        <f>IFERROR(INDEX(Teams!$B$3:$B$52,SMALL(IF(Teams!$A$3:$A$52="B",ROW(Teams!$A$3:$A$52)-ROW(Teams!$A$3)+1),16)),"")</f>
        <v/>
      </c>
      <c r="C47" s="26">
        <f>IFERROR(IF(B47="","",SUMPRODUCT((Matches!$B$3:$B$502=$B$3)*(Matches!$D$3:$D$502=B47)*(Matches!$O$3:$O$502="Completed"))+SUMPRODUCT((Matches!$B$3:$B$502=$B$3)*(Matches!$E$3:$E$502=B47)*(Matches!$O$3:$O$502="Completed"))),"—")</f>
        <v/>
      </c>
      <c r="D47" s="26">
        <f>IFERROR(IF(B47="","",SUMPRODUCT((Matches!$B$3:$B$502=$B$3)*(Matches!$D$3:$D$502=B47)*(Matches!$N$3:$N$502=B47)*(Matches!$O$3:$O$502="Completed"))+SUMPRODUCT((Matches!$B$3:$B$502=$B$3)*(Matches!$E$3:$E$502=B47)*(Matches!$N$3:$N$502=B47)*(Matches!$O$3:$O$502="Completed"))),"—")</f>
        <v/>
      </c>
      <c r="E47" s="26">
        <f>IFERROR(IF(B47="","",SUMPRODUCT((Matches!$B$3:$B$502=$B$3)*(Matches!$D$3:$D$502=B47)*(Matches!$N$3:$N$502="Draw")*(Matches!$O$3:$O$502="Completed"))+SUMPRODUCT((Matches!$B$3:$B$502=$B$3)*(Matches!$E$3:$E$502=B47)*(Matches!$N$3:$N$502="Draw")*(Matches!$O$3:$O$502="Completed"))),"—")</f>
        <v/>
      </c>
      <c r="F47" s="26">
        <f>IFERROR(IF(B47="","",IF(ISNUMBER(C47),C47-D47-E47,"—")),"—")</f>
        <v/>
      </c>
      <c r="G47" s="27">
        <f>IFERROR(IF(B47="","",IF(ISNUMBER(D47),D47*Setup!$B$8+E47*Setup!$B$9+F47*Setup!$B$10,"—")),"—")</f>
        <v/>
      </c>
      <c r="H47" s="26">
        <f>IFERROR(IF(B47="","",SUMPRODUCT((Matches!$B$3:$B$502=$B$3)*(Matches!$D$3:$D$502=B47)*(Matches!$O$3:$O$502="Completed")*IF(ISNUMBER(Matches!$L$3:$L$502),Matches!$L$3:$L$502,0))+SUMPRODUCT((Matches!$B$3:$B$502=$B$3)*(Matches!$E$3:$E$502=B47)*(Matches!$O$3:$O$502="Completed")*IF(ISNUMBER(Matches!$M$3:$M$502),Matches!$M$3:$M$502,0))),"—")</f>
        <v/>
      </c>
      <c r="I47" s="26">
        <f>IFERROR(IF(B47="","",SUMPRODUCT((Matches!$B$3:$B$502=$B$3)*(Matches!$D$3:$D$502=B47)*(Matches!$O$3:$O$502="Completed")*IF(ISNUMBER(Matches!$M$3:$M$502),Matches!$M$3:$M$502,0))+SUMPRODUCT((Matches!$B$3:$B$502=$B$3)*(Matches!$E$3:$E$502=B47)*(Matches!$O$3:$O$502="Completed")*IF(ISNUMBER(Matches!$L$3:$L$502),Matches!$L$3:$L$502,0))),"—")</f>
        <v/>
      </c>
      <c r="J47" s="28">
        <f>IFERROR(IF(B47="","",IF(ISNUMBER(H47),H47-I47,"—")),"—")</f>
        <v/>
      </c>
    </row>
    <row r="48">
      <c r="A48" s="21" t="n"/>
      <c r="B48" s="13">
        <f>IFERROR(INDEX(Teams!$B$3:$B$52,SMALL(IF(Teams!$A$3:$A$52="B",ROW(Teams!$A$3:$A$52)-ROW(Teams!$A$3)+1),17)),"")</f>
        <v/>
      </c>
      <c r="C48" s="22">
        <f>IFERROR(IF(B48="","",SUMPRODUCT((Matches!$B$3:$B$502=$B$3)*(Matches!$D$3:$D$502=B48)*(Matches!$O$3:$O$502="Completed"))+SUMPRODUCT((Matches!$B$3:$B$502=$B$3)*(Matches!$E$3:$E$502=B48)*(Matches!$O$3:$O$502="Completed"))),"—")</f>
        <v/>
      </c>
      <c r="D48" s="22">
        <f>IFERROR(IF(B48="","",SUMPRODUCT((Matches!$B$3:$B$502=$B$3)*(Matches!$D$3:$D$502=B48)*(Matches!$N$3:$N$502=B48)*(Matches!$O$3:$O$502="Completed"))+SUMPRODUCT((Matches!$B$3:$B$502=$B$3)*(Matches!$E$3:$E$502=B48)*(Matches!$N$3:$N$502=B48)*(Matches!$O$3:$O$502="Completed"))),"—")</f>
        <v/>
      </c>
      <c r="E48" s="22">
        <f>IFERROR(IF(B48="","",SUMPRODUCT((Matches!$B$3:$B$502=$B$3)*(Matches!$D$3:$D$502=B48)*(Matches!$N$3:$N$502="Draw")*(Matches!$O$3:$O$502="Completed"))+SUMPRODUCT((Matches!$B$3:$B$502=$B$3)*(Matches!$E$3:$E$502=B48)*(Matches!$N$3:$N$502="Draw")*(Matches!$O$3:$O$502="Completed"))),"—")</f>
        <v/>
      </c>
      <c r="F48" s="22">
        <f>IFERROR(IF(B48="","",IF(ISNUMBER(C48),C48-D48-E48,"—")),"—")</f>
        <v/>
      </c>
      <c r="G48" s="23">
        <f>IFERROR(IF(B48="","",IF(ISNUMBER(D48),D48*Setup!$B$8+E48*Setup!$B$9+F48*Setup!$B$10,"—")),"—")</f>
        <v/>
      </c>
      <c r="H48" s="22">
        <f>IFERROR(IF(B48="","",SUMPRODUCT((Matches!$B$3:$B$502=$B$3)*(Matches!$D$3:$D$502=B48)*(Matches!$O$3:$O$502="Completed")*IF(ISNUMBER(Matches!$L$3:$L$502),Matches!$L$3:$L$502,0))+SUMPRODUCT((Matches!$B$3:$B$502=$B$3)*(Matches!$E$3:$E$502=B48)*(Matches!$O$3:$O$502="Completed")*IF(ISNUMBER(Matches!$M$3:$M$502),Matches!$M$3:$M$502,0))),"—")</f>
        <v/>
      </c>
      <c r="I48" s="22">
        <f>IFERROR(IF(B48="","",SUMPRODUCT((Matches!$B$3:$B$502=$B$3)*(Matches!$D$3:$D$502=B48)*(Matches!$O$3:$O$502="Completed")*IF(ISNUMBER(Matches!$M$3:$M$502),Matches!$M$3:$M$502,0))+SUMPRODUCT((Matches!$B$3:$B$502=$B$3)*(Matches!$E$3:$E$502=B48)*(Matches!$O$3:$O$502="Completed")*IF(ISNUMBER(Matches!$L$3:$L$502),Matches!$L$3:$L$502,0))),"—")</f>
        <v/>
      </c>
      <c r="J48" s="24">
        <f>IFERROR(IF(B48="","",IF(ISNUMBER(H48),H48-I48,"—")),"—")</f>
        <v/>
      </c>
    </row>
    <row r="49">
      <c r="A49" s="25" t="n"/>
      <c r="B49" s="11">
        <f>IFERROR(INDEX(Teams!$B$3:$B$52,SMALL(IF(Teams!$A$3:$A$52="B",ROW(Teams!$A$3:$A$52)-ROW(Teams!$A$3)+1),18)),"")</f>
        <v/>
      </c>
      <c r="C49" s="26">
        <f>IFERROR(IF(B49="","",SUMPRODUCT((Matches!$B$3:$B$502=$B$3)*(Matches!$D$3:$D$502=B49)*(Matches!$O$3:$O$502="Completed"))+SUMPRODUCT((Matches!$B$3:$B$502=$B$3)*(Matches!$E$3:$E$502=B49)*(Matches!$O$3:$O$502="Completed"))),"—")</f>
        <v/>
      </c>
      <c r="D49" s="26">
        <f>IFERROR(IF(B49="","",SUMPRODUCT((Matches!$B$3:$B$502=$B$3)*(Matches!$D$3:$D$502=B49)*(Matches!$N$3:$N$502=B49)*(Matches!$O$3:$O$502="Completed"))+SUMPRODUCT((Matches!$B$3:$B$502=$B$3)*(Matches!$E$3:$E$502=B49)*(Matches!$N$3:$N$502=B49)*(Matches!$O$3:$O$502="Completed"))),"—")</f>
        <v/>
      </c>
      <c r="E49" s="26">
        <f>IFERROR(IF(B49="","",SUMPRODUCT((Matches!$B$3:$B$502=$B$3)*(Matches!$D$3:$D$502=B49)*(Matches!$N$3:$N$502="Draw")*(Matches!$O$3:$O$502="Completed"))+SUMPRODUCT((Matches!$B$3:$B$502=$B$3)*(Matches!$E$3:$E$502=B49)*(Matches!$N$3:$N$502="Draw")*(Matches!$O$3:$O$502="Completed"))),"—")</f>
        <v/>
      </c>
      <c r="F49" s="26">
        <f>IFERROR(IF(B49="","",IF(ISNUMBER(C49),C49-D49-E49,"—")),"—")</f>
        <v/>
      </c>
      <c r="G49" s="27">
        <f>IFERROR(IF(B49="","",IF(ISNUMBER(D49),D49*Setup!$B$8+E49*Setup!$B$9+F49*Setup!$B$10,"—")),"—")</f>
        <v/>
      </c>
      <c r="H49" s="26">
        <f>IFERROR(IF(B49="","",SUMPRODUCT((Matches!$B$3:$B$502=$B$3)*(Matches!$D$3:$D$502=B49)*(Matches!$O$3:$O$502="Completed")*IF(ISNUMBER(Matches!$L$3:$L$502),Matches!$L$3:$L$502,0))+SUMPRODUCT((Matches!$B$3:$B$502=$B$3)*(Matches!$E$3:$E$502=B49)*(Matches!$O$3:$O$502="Completed")*IF(ISNUMBER(Matches!$M$3:$M$502),Matches!$M$3:$M$502,0))),"—")</f>
        <v/>
      </c>
      <c r="I49" s="26">
        <f>IFERROR(IF(B49="","",SUMPRODUCT((Matches!$B$3:$B$502=$B$3)*(Matches!$D$3:$D$502=B49)*(Matches!$O$3:$O$502="Completed")*IF(ISNUMBER(Matches!$M$3:$M$502),Matches!$M$3:$M$502,0))+SUMPRODUCT((Matches!$B$3:$B$502=$B$3)*(Matches!$E$3:$E$502=B49)*(Matches!$O$3:$O$502="Completed")*IF(ISNUMBER(Matches!$L$3:$L$502),Matches!$L$3:$L$502,0))),"—")</f>
        <v/>
      </c>
      <c r="J49" s="28">
        <f>IFERROR(IF(B49="","",IF(ISNUMBER(H49),H49-I49,"—")),"—")</f>
        <v/>
      </c>
    </row>
    <row r="50">
      <c r="A50" s="21" t="n"/>
      <c r="B50" s="13">
        <f>IFERROR(INDEX(Teams!$B$3:$B$52,SMALL(IF(Teams!$A$3:$A$52="B",ROW(Teams!$A$3:$A$52)-ROW(Teams!$A$3)+1),19)),"")</f>
        <v/>
      </c>
      <c r="C50" s="22">
        <f>IFERROR(IF(B50="","",SUMPRODUCT((Matches!$B$3:$B$502=$B$3)*(Matches!$D$3:$D$502=B50)*(Matches!$O$3:$O$502="Completed"))+SUMPRODUCT((Matches!$B$3:$B$502=$B$3)*(Matches!$E$3:$E$502=B50)*(Matches!$O$3:$O$502="Completed"))),"—")</f>
        <v/>
      </c>
      <c r="D50" s="22">
        <f>IFERROR(IF(B50="","",SUMPRODUCT((Matches!$B$3:$B$502=$B$3)*(Matches!$D$3:$D$502=B50)*(Matches!$N$3:$N$502=B50)*(Matches!$O$3:$O$502="Completed"))+SUMPRODUCT((Matches!$B$3:$B$502=$B$3)*(Matches!$E$3:$E$502=B50)*(Matches!$N$3:$N$502=B50)*(Matches!$O$3:$O$502="Completed"))),"—")</f>
        <v/>
      </c>
      <c r="E50" s="22">
        <f>IFERROR(IF(B50="","",SUMPRODUCT((Matches!$B$3:$B$502=$B$3)*(Matches!$D$3:$D$502=B50)*(Matches!$N$3:$N$502="Draw")*(Matches!$O$3:$O$502="Completed"))+SUMPRODUCT((Matches!$B$3:$B$502=$B$3)*(Matches!$E$3:$E$502=B50)*(Matches!$N$3:$N$502="Draw")*(Matches!$O$3:$O$502="Completed"))),"—")</f>
        <v/>
      </c>
      <c r="F50" s="22">
        <f>IFERROR(IF(B50="","",IF(ISNUMBER(C50),C50-D50-E50,"—")),"—")</f>
        <v/>
      </c>
      <c r="G50" s="23">
        <f>IFERROR(IF(B50="","",IF(ISNUMBER(D50),D50*Setup!$B$8+E50*Setup!$B$9+F50*Setup!$B$10,"—")),"—")</f>
        <v/>
      </c>
      <c r="H50" s="22">
        <f>IFERROR(IF(B50="","",SUMPRODUCT((Matches!$B$3:$B$502=$B$3)*(Matches!$D$3:$D$502=B50)*(Matches!$O$3:$O$502="Completed")*IF(ISNUMBER(Matches!$L$3:$L$502),Matches!$L$3:$L$502,0))+SUMPRODUCT((Matches!$B$3:$B$502=$B$3)*(Matches!$E$3:$E$502=B50)*(Matches!$O$3:$O$502="Completed")*IF(ISNUMBER(Matches!$M$3:$M$502),Matches!$M$3:$M$502,0))),"—")</f>
        <v/>
      </c>
      <c r="I50" s="22">
        <f>IFERROR(IF(B50="","",SUMPRODUCT((Matches!$B$3:$B$502=$B$3)*(Matches!$D$3:$D$502=B50)*(Matches!$O$3:$O$502="Completed")*IF(ISNUMBER(Matches!$M$3:$M$502),Matches!$M$3:$M$502,0))+SUMPRODUCT((Matches!$B$3:$B$502=$B$3)*(Matches!$E$3:$E$502=B50)*(Matches!$O$3:$O$502="Completed")*IF(ISNUMBER(Matches!$L$3:$L$502),Matches!$L$3:$L$502,0))),"—")</f>
        <v/>
      </c>
      <c r="J50" s="24">
        <f>IFERROR(IF(B50="","",IF(ISNUMBER(H50),H50-I50,"—")),"—")</f>
        <v/>
      </c>
    </row>
    <row r="51">
      <c r="A51" s="25" t="n"/>
      <c r="B51" s="11">
        <f>IFERROR(INDEX(Teams!$B$3:$B$52,SMALL(IF(Teams!$A$3:$A$52="B",ROW(Teams!$A$3:$A$52)-ROW(Teams!$A$3)+1),20)),"")</f>
        <v/>
      </c>
      <c r="C51" s="26">
        <f>IFERROR(IF(B51="","",SUMPRODUCT((Matches!$B$3:$B$502=$B$3)*(Matches!$D$3:$D$502=B51)*(Matches!$O$3:$O$502="Completed"))+SUMPRODUCT((Matches!$B$3:$B$502=$B$3)*(Matches!$E$3:$E$502=B51)*(Matches!$O$3:$O$502="Completed"))),"—")</f>
        <v/>
      </c>
      <c r="D51" s="26">
        <f>IFERROR(IF(B51="","",SUMPRODUCT((Matches!$B$3:$B$502=$B$3)*(Matches!$D$3:$D$502=B51)*(Matches!$N$3:$N$502=B51)*(Matches!$O$3:$O$502="Completed"))+SUMPRODUCT((Matches!$B$3:$B$502=$B$3)*(Matches!$E$3:$E$502=B51)*(Matches!$N$3:$N$502=B51)*(Matches!$O$3:$O$502="Completed"))),"—")</f>
        <v/>
      </c>
      <c r="E51" s="26">
        <f>IFERROR(IF(B51="","",SUMPRODUCT((Matches!$B$3:$B$502=$B$3)*(Matches!$D$3:$D$502=B51)*(Matches!$N$3:$N$502="Draw")*(Matches!$O$3:$O$502="Completed"))+SUMPRODUCT((Matches!$B$3:$B$502=$B$3)*(Matches!$E$3:$E$502=B51)*(Matches!$N$3:$N$502="Draw")*(Matches!$O$3:$O$502="Completed"))),"—")</f>
        <v/>
      </c>
      <c r="F51" s="26">
        <f>IFERROR(IF(B51="","",IF(ISNUMBER(C51),C51-D51-E51,"—")),"—")</f>
        <v/>
      </c>
      <c r="G51" s="27">
        <f>IFERROR(IF(B51="","",IF(ISNUMBER(D51),D51*Setup!$B$8+E51*Setup!$B$9+F51*Setup!$B$10,"—")),"—")</f>
        <v/>
      </c>
      <c r="H51" s="26">
        <f>IFERROR(IF(B51="","",SUMPRODUCT((Matches!$B$3:$B$502=$B$3)*(Matches!$D$3:$D$502=B51)*(Matches!$O$3:$O$502="Completed")*IF(ISNUMBER(Matches!$L$3:$L$502),Matches!$L$3:$L$502,0))+SUMPRODUCT((Matches!$B$3:$B$502=$B$3)*(Matches!$E$3:$E$502=B51)*(Matches!$O$3:$O$502="Completed")*IF(ISNUMBER(Matches!$M$3:$M$502),Matches!$M$3:$M$502,0))),"—")</f>
        <v/>
      </c>
      <c r="I51" s="26">
        <f>IFERROR(IF(B51="","",SUMPRODUCT((Matches!$B$3:$B$502=$B$3)*(Matches!$D$3:$D$502=B51)*(Matches!$O$3:$O$502="Completed")*IF(ISNUMBER(Matches!$M$3:$M$502),Matches!$M$3:$M$502,0))+SUMPRODUCT((Matches!$B$3:$B$502=$B$3)*(Matches!$E$3:$E$502=B51)*(Matches!$O$3:$O$502="Completed")*IF(ISNUMBER(Matches!$L$3:$L$502),Matches!$L$3:$L$502,0))),"—")</f>
        <v/>
      </c>
      <c r="J51" s="28">
        <f>IFERROR(IF(B51="","",IF(ISNUMBER(H51),H51-I51,"—")),"—")</f>
        <v/>
      </c>
    </row>
    <row r="55">
      <c r="A55" s="20" t="inlineStr">
        <is>
          <t>DIVISION C</t>
        </is>
      </c>
    </row>
    <row r="56">
      <c r="A56" s="9" t="inlineStr">
        <is>
          <t>Pos</t>
        </is>
      </c>
      <c r="B56" s="9" t="inlineStr">
        <is>
          <t>Team</t>
        </is>
      </c>
      <c r="C56" s="9" t="inlineStr">
        <is>
          <t>Played</t>
        </is>
      </c>
      <c r="D56" s="9" t="inlineStr">
        <is>
          <t>Won</t>
        </is>
      </c>
      <c r="E56" s="9" t="inlineStr">
        <is>
          <t>Drawn</t>
        </is>
      </c>
      <c r="F56" s="9" t="inlineStr">
        <is>
          <t>Lost</t>
        </is>
      </c>
      <c r="G56" s="9" t="inlineStr">
        <is>
          <t>Points</t>
        </is>
      </c>
      <c r="H56" s="9" t="inlineStr">
        <is>
          <t>GF</t>
        </is>
      </c>
      <c r="I56" s="9" t="inlineStr">
        <is>
          <t>GA</t>
        </is>
      </c>
      <c r="J56" s="9" t="inlineStr">
        <is>
          <t>Diff</t>
        </is>
      </c>
    </row>
    <row r="57">
      <c r="A57" s="21" t="n"/>
      <c r="B57" s="13">
        <f>IFERROR(INDEX(Teams!$B$3:$B$52,SMALL(IF(Teams!$A$3:$A$52="C",ROW(Teams!$A$3:$A$52)-ROW(Teams!$A$3)+1),1)),"")</f>
        <v/>
      </c>
      <c r="C57" s="22">
        <f>IFERROR(IF(B57="","",SUMPRODUCT((Matches!$B$3:$B$502=$B$3)*(Matches!$D$3:$D$502=B57)*(Matches!$O$3:$O$502="Completed"))+SUMPRODUCT((Matches!$B$3:$B$502=$B$3)*(Matches!$E$3:$E$502=B57)*(Matches!$O$3:$O$502="Completed"))),"—")</f>
        <v/>
      </c>
      <c r="D57" s="22">
        <f>IFERROR(IF(B57="","",SUMPRODUCT((Matches!$B$3:$B$502=$B$3)*(Matches!$D$3:$D$502=B57)*(Matches!$N$3:$N$502=B57)*(Matches!$O$3:$O$502="Completed"))+SUMPRODUCT((Matches!$B$3:$B$502=$B$3)*(Matches!$E$3:$E$502=B57)*(Matches!$N$3:$N$502=B57)*(Matches!$O$3:$O$502="Completed"))),"—")</f>
        <v/>
      </c>
      <c r="E57" s="22">
        <f>IFERROR(IF(B57="","",SUMPRODUCT((Matches!$B$3:$B$502=$B$3)*(Matches!$D$3:$D$502=B57)*(Matches!$N$3:$N$502="Draw")*(Matches!$O$3:$O$502="Completed"))+SUMPRODUCT((Matches!$B$3:$B$502=$B$3)*(Matches!$E$3:$E$502=B57)*(Matches!$N$3:$N$502="Draw")*(Matches!$O$3:$O$502="Completed"))),"—")</f>
        <v/>
      </c>
      <c r="F57" s="22">
        <f>IFERROR(IF(B57="","",IF(ISNUMBER(C57),C57-D57-E57,"—")),"—")</f>
        <v/>
      </c>
      <c r="G57" s="23">
        <f>IFERROR(IF(B57="","",IF(ISNUMBER(D57),D57*Setup!$B$8+E57*Setup!$B$9+F57*Setup!$B$10,"—")),"—")</f>
        <v/>
      </c>
      <c r="H57" s="22">
        <f>IFERROR(IF(B57="","",SUMPRODUCT((Matches!$B$3:$B$502=$B$3)*(Matches!$D$3:$D$502=B57)*(Matches!$O$3:$O$502="Completed")*IF(ISNUMBER(Matches!$L$3:$L$502),Matches!$L$3:$L$502,0))+SUMPRODUCT((Matches!$B$3:$B$502=$B$3)*(Matches!$E$3:$E$502=B57)*(Matches!$O$3:$O$502="Completed")*IF(ISNUMBER(Matches!$M$3:$M$502),Matches!$M$3:$M$502,0))),"—")</f>
        <v/>
      </c>
      <c r="I57" s="22">
        <f>IFERROR(IF(B57="","",SUMPRODUCT((Matches!$B$3:$B$502=$B$3)*(Matches!$D$3:$D$502=B57)*(Matches!$O$3:$O$502="Completed")*IF(ISNUMBER(Matches!$M$3:$M$502),Matches!$M$3:$M$502,0))+SUMPRODUCT((Matches!$B$3:$B$502=$B$3)*(Matches!$E$3:$E$502=B57)*(Matches!$O$3:$O$502="Completed")*IF(ISNUMBER(Matches!$L$3:$L$502),Matches!$L$3:$L$502,0))),"—")</f>
        <v/>
      </c>
      <c r="J57" s="24">
        <f>IFERROR(IF(B57="","",IF(ISNUMBER(H57),H57-I57,"—")),"—")</f>
        <v/>
      </c>
    </row>
    <row r="58">
      <c r="A58" s="25" t="n"/>
      <c r="B58" s="11">
        <f>IFERROR(INDEX(Teams!$B$3:$B$52,SMALL(IF(Teams!$A$3:$A$52="C",ROW(Teams!$A$3:$A$52)-ROW(Teams!$A$3)+1),2)),"")</f>
        <v/>
      </c>
      <c r="C58" s="26">
        <f>IFERROR(IF(B58="","",SUMPRODUCT((Matches!$B$3:$B$502=$B$3)*(Matches!$D$3:$D$502=B58)*(Matches!$O$3:$O$502="Completed"))+SUMPRODUCT((Matches!$B$3:$B$502=$B$3)*(Matches!$E$3:$E$502=B58)*(Matches!$O$3:$O$502="Completed"))),"—")</f>
        <v/>
      </c>
      <c r="D58" s="26">
        <f>IFERROR(IF(B58="","",SUMPRODUCT((Matches!$B$3:$B$502=$B$3)*(Matches!$D$3:$D$502=B58)*(Matches!$N$3:$N$502=B58)*(Matches!$O$3:$O$502="Completed"))+SUMPRODUCT((Matches!$B$3:$B$502=$B$3)*(Matches!$E$3:$E$502=B58)*(Matches!$N$3:$N$502=B58)*(Matches!$O$3:$O$502="Completed"))),"—")</f>
        <v/>
      </c>
      <c r="E58" s="26">
        <f>IFERROR(IF(B58="","",SUMPRODUCT((Matches!$B$3:$B$502=$B$3)*(Matches!$D$3:$D$502=B58)*(Matches!$N$3:$N$502="Draw")*(Matches!$O$3:$O$502="Completed"))+SUMPRODUCT((Matches!$B$3:$B$502=$B$3)*(Matches!$E$3:$E$502=B58)*(Matches!$N$3:$N$502="Draw")*(Matches!$O$3:$O$502="Completed"))),"—")</f>
        <v/>
      </c>
      <c r="F58" s="26">
        <f>IFERROR(IF(B58="","",IF(ISNUMBER(C58),C58-D58-E58,"—")),"—")</f>
        <v/>
      </c>
      <c r="G58" s="27">
        <f>IFERROR(IF(B58="","",IF(ISNUMBER(D58),D58*Setup!$B$8+E58*Setup!$B$9+F58*Setup!$B$10,"—")),"—")</f>
        <v/>
      </c>
      <c r="H58" s="26">
        <f>IFERROR(IF(B58="","",SUMPRODUCT((Matches!$B$3:$B$502=$B$3)*(Matches!$D$3:$D$502=B58)*(Matches!$O$3:$O$502="Completed")*IF(ISNUMBER(Matches!$L$3:$L$502),Matches!$L$3:$L$502,0))+SUMPRODUCT((Matches!$B$3:$B$502=$B$3)*(Matches!$E$3:$E$502=B58)*(Matches!$O$3:$O$502="Completed")*IF(ISNUMBER(Matches!$M$3:$M$502),Matches!$M$3:$M$502,0))),"—")</f>
        <v/>
      </c>
      <c r="I58" s="26">
        <f>IFERROR(IF(B58="","",SUMPRODUCT((Matches!$B$3:$B$502=$B$3)*(Matches!$D$3:$D$502=B58)*(Matches!$O$3:$O$502="Completed")*IF(ISNUMBER(Matches!$M$3:$M$502),Matches!$M$3:$M$502,0))+SUMPRODUCT((Matches!$B$3:$B$502=$B$3)*(Matches!$E$3:$E$502=B58)*(Matches!$O$3:$O$502="Completed")*IF(ISNUMBER(Matches!$L$3:$L$502),Matches!$L$3:$L$502,0))),"—")</f>
        <v/>
      </c>
      <c r="J58" s="28">
        <f>IFERROR(IF(B58="","",IF(ISNUMBER(H58),H58-I58,"—")),"—")</f>
        <v/>
      </c>
    </row>
    <row r="59">
      <c r="A59" s="21" t="n"/>
      <c r="B59" s="13">
        <f>IFERROR(INDEX(Teams!$B$3:$B$52,SMALL(IF(Teams!$A$3:$A$52="C",ROW(Teams!$A$3:$A$52)-ROW(Teams!$A$3)+1),3)),"")</f>
        <v/>
      </c>
      <c r="C59" s="22">
        <f>IFERROR(IF(B59="","",SUMPRODUCT((Matches!$B$3:$B$502=$B$3)*(Matches!$D$3:$D$502=B59)*(Matches!$O$3:$O$502="Completed"))+SUMPRODUCT((Matches!$B$3:$B$502=$B$3)*(Matches!$E$3:$E$502=B59)*(Matches!$O$3:$O$502="Completed"))),"—")</f>
        <v/>
      </c>
      <c r="D59" s="22">
        <f>IFERROR(IF(B59="","",SUMPRODUCT((Matches!$B$3:$B$502=$B$3)*(Matches!$D$3:$D$502=B59)*(Matches!$N$3:$N$502=B59)*(Matches!$O$3:$O$502="Completed"))+SUMPRODUCT((Matches!$B$3:$B$502=$B$3)*(Matches!$E$3:$E$502=B59)*(Matches!$N$3:$N$502=B59)*(Matches!$O$3:$O$502="Completed"))),"—")</f>
        <v/>
      </c>
      <c r="E59" s="22">
        <f>IFERROR(IF(B59="","",SUMPRODUCT((Matches!$B$3:$B$502=$B$3)*(Matches!$D$3:$D$502=B59)*(Matches!$N$3:$N$502="Draw")*(Matches!$O$3:$O$502="Completed"))+SUMPRODUCT((Matches!$B$3:$B$502=$B$3)*(Matches!$E$3:$E$502=B59)*(Matches!$N$3:$N$502="Draw")*(Matches!$O$3:$O$502="Completed"))),"—")</f>
        <v/>
      </c>
      <c r="F59" s="22">
        <f>IFERROR(IF(B59="","",IF(ISNUMBER(C59),C59-D59-E59,"—")),"—")</f>
        <v/>
      </c>
      <c r="G59" s="23">
        <f>IFERROR(IF(B59="","",IF(ISNUMBER(D59),D59*Setup!$B$8+E59*Setup!$B$9+F59*Setup!$B$10,"—")),"—")</f>
        <v/>
      </c>
      <c r="H59" s="22">
        <f>IFERROR(IF(B59="","",SUMPRODUCT((Matches!$B$3:$B$502=$B$3)*(Matches!$D$3:$D$502=B59)*(Matches!$O$3:$O$502="Completed")*IF(ISNUMBER(Matches!$L$3:$L$502),Matches!$L$3:$L$502,0))+SUMPRODUCT((Matches!$B$3:$B$502=$B$3)*(Matches!$E$3:$E$502=B59)*(Matches!$O$3:$O$502="Completed")*IF(ISNUMBER(Matches!$M$3:$M$502),Matches!$M$3:$M$502,0))),"—")</f>
        <v/>
      </c>
      <c r="I59" s="22">
        <f>IFERROR(IF(B59="","",SUMPRODUCT((Matches!$B$3:$B$502=$B$3)*(Matches!$D$3:$D$502=B59)*(Matches!$O$3:$O$502="Completed")*IF(ISNUMBER(Matches!$M$3:$M$502),Matches!$M$3:$M$502,0))+SUMPRODUCT((Matches!$B$3:$B$502=$B$3)*(Matches!$E$3:$E$502=B59)*(Matches!$O$3:$O$502="Completed")*IF(ISNUMBER(Matches!$L$3:$L$502),Matches!$L$3:$L$502,0))),"—")</f>
        <v/>
      </c>
      <c r="J59" s="24">
        <f>IFERROR(IF(B59="","",IF(ISNUMBER(H59),H59-I59,"—")),"—")</f>
        <v/>
      </c>
    </row>
    <row r="60">
      <c r="A60" s="25" t="n"/>
      <c r="B60" s="11">
        <f>IFERROR(INDEX(Teams!$B$3:$B$52,SMALL(IF(Teams!$A$3:$A$52="C",ROW(Teams!$A$3:$A$52)-ROW(Teams!$A$3)+1),4)),"")</f>
        <v/>
      </c>
      <c r="C60" s="26">
        <f>IFERROR(IF(B60="","",SUMPRODUCT((Matches!$B$3:$B$502=$B$3)*(Matches!$D$3:$D$502=B60)*(Matches!$O$3:$O$502="Completed"))+SUMPRODUCT((Matches!$B$3:$B$502=$B$3)*(Matches!$E$3:$E$502=B60)*(Matches!$O$3:$O$502="Completed"))),"—")</f>
        <v/>
      </c>
      <c r="D60" s="26">
        <f>IFERROR(IF(B60="","",SUMPRODUCT((Matches!$B$3:$B$502=$B$3)*(Matches!$D$3:$D$502=B60)*(Matches!$N$3:$N$502=B60)*(Matches!$O$3:$O$502="Completed"))+SUMPRODUCT((Matches!$B$3:$B$502=$B$3)*(Matches!$E$3:$E$502=B60)*(Matches!$N$3:$N$502=B60)*(Matches!$O$3:$O$502="Completed"))),"—")</f>
        <v/>
      </c>
      <c r="E60" s="26">
        <f>IFERROR(IF(B60="","",SUMPRODUCT((Matches!$B$3:$B$502=$B$3)*(Matches!$D$3:$D$502=B60)*(Matches!$N$3:$N$502="Draw")*(Matches!$O$3:$O$502="Completed"))+SUMPRODUCT((Matches!$B$3:$B$502=$B$3)*(Matches!$E$3:$E$502=B60)*(Matches!$N$3:$N$502="Draw")*(Matches!$O$3:$O$502="Completed"))),"—")</f>
        <v/>
      </c>
      <c r="F60" s="26">
        <f>IFERROR(IF(B60="","",IF(ISNUMBER(C60),C60-D60-E60,"—")),"—")</f>
        <v/>
      </c>
      <c r="G60" s="27">
        <f>IFERROR(IF(B60="","",IF(ISNUMBER(D60),D60*Setup!$B$8+E60*Setup!$B$9+F60*Setup!$B$10,"—")),"—")</f>
        <v/>
      </c>
      <c r="H60" s="26">
        <f>IFERROR(IF(B60="","",SUMPRODUCT((Matches!$B$3:$B$502=$B$3)*(Matches!$D$3:$D$502=B60)*(Matches!$O$3:$O$502="Completed")*IF(ISNUMBER(Matches!$L$3:$L$502),Matches!$L$3:$L$502,0))+SUMPRODUCT((Matches!$B$3:$B$502=$B$3)*(Matches!$E$3:$E$502=B60)*(Matches!$O$3:$O$502="Completed")*IF(ISNUMBER(Matches!$M$3:$M$502),Matches!$M$3:$M$502,0))),"—")</f>
        <v/>
      </c>
      <c r="I60" s="26">
        <f>IFERROR(IF(B60="","",SUMPRODUCT((Matches!$B$3:$B$502=$B$3)*(Matches!$D$3:$D$502=B60)*(Matches!$O$3:$O$502="Completed")*IF(ISNUMBER(Matches!$M$3:$M$502),Matches!$M$3:$M$502,0))+SUMPRODUCT((Matches!$B$3:$B$502=$B$3)*(Matches!$E$3:$E$502=B60)*(Matches!$O$3:$O$502="Completed")*IF(ISNUMBER(Matches!$L$3:$L$502),Matches!$L$3:$L$502,0))),"—")</f>
        <v/>
      </c>
      <c r="J60" s="28">
        <f>IFERROR(IF(B60="","",IF(ISNUMBER(H60),H60-I60,"—")),"—")</f>
        <v/>
      </c>
    </row>
    <row r="61">
      <c r="A61" s="21" t="n"/>
      <c r="B61" s="13">
        <f>IFERROR(INDEX(Teams!$B$3:$B$52,SMALL(IF(Teams!$A$3:$A$52="C",ROW(Teams!$A$3:$A$52)-ROW(Teams!$A$3)+1),5)),"")</f>
        <v/>
      </c>
      <c r="C61" s="22">
        <f>IFERROR(IF(B61="","",SUMPRODUCT((Matches!$B$3:$B$502=$B$3)*(Matches!$D$3:$D$502=B61)*(Matches!$O$3:$O$502="Completed"))+SUMPRODUCT((Matches!$B$3:$B$502=$B$3)*(Matches!$E$3:$E$502=B61)*(Matches!$O$3:$O$502="Completed"))),"—")</f>
        <v/>
      </c>
      <c r="D61" s="22">
        <f>IFERROR(IF(B61="","",SUMPRODUCT((Matches!$B$3:$B$502=$B$3)*(Matches!$D$3:$D$502=B61)*(Matches!$N$3:$N$502=B61)*(Matches!$O$3:$O$502="Completed"))+SUMPRODUCT((Matches!$B$3:$B$502=$B$3)*(Matches!$E$3:$E$502=B61)*(Matches!$N$3:$N$502=B61)*(Matches!$O$3:$O$502="Completed"))),"—")</f>
        <v/>
      </c>
      <c r="E61" s="22">
        <f>IFERROR(IF(B61="","",SUMPRODUCT((Matches!$B$3:$B$502=$B$3)*(Matches!$D$3:$D$502=B61)*(Matches!$N$3:$N$502="Draw")*(Matches!$O$3:$O$502="Completed"))+SUMPRODUCT((Matches!$B$3:$B$502=$B$3)*(Matches!$E$3:$E$502=B61)*(Matches!$N$3:$N$502="Draw")*(Matches!$O$3:$O$502="Completed"))),"—")</f>
        <v/>
      </c>
      <c r="F61" s="22">
        <f>IFERROR(IF(B61="","",IF(ISNUMBER(C61),C61-D61-E61,"—")),"—")</f>
        <v/>
      </c>
      <c r="G61" s="23">
        <f>IFERROR(IF(B61="","",IF(ISNUMBER(D61),D61*Setup!$B$8+E61*Setup!$B$9+F61*Setup!$B$10,"—")),"—")</f>
        <v/>
      </c>
      <c r="H61" s="22">
        <f>IFERROR(IF(B61="","",SUMPRODUCT((Matches!$B$3:$B$502=$B$3)*(Matches!$D$3:$D$502=B61)*(Matches!$O$3:$O$502="Completed")*IF(ISNUMBER(Matches!$L$3:$L$502),Matches!$L$3:$L$502,0))+SUMPRODUCT((Matches!$B$3:$B$502=$B$3)*(Matches!$E$3:$E$502=B61)*(Matches!$O$3:$O$502="Completed")*IF(ISNUMBER(Matches!$M$3:$M$502),Matches!$M$3:$M$502,0))),"—")</f>
        <v/>
      </c>
      <c r="I61" s="22">
        <f>IFERROR(IF(B61="","",SUMPRODUCT((Matches!$B$3:$B$502=$B$3)*(Matches!$D$3:$D$502=B61)*(Matches!$O$3:$O$502="Completed")*IF(ISNUMBER(Matches!$M$3:$M$502),Matches!$M$3:$M$502,0))+SUMPRODUCT((Matches!$B$3:$B$502=$B$3)*(Matches!$E$3:$E$502=B61)*(Matches!$O$3:$O$502="Completed")*IF(ISNUMBER(Matches!$L$3:$L$502),Matches!$L$3:$L$502,0))),"—")</f>
        <v/>
      </c>
      <c r="J61" s="24">
        <f>IFERROR(IF(B61="","",IF(ISNUMBER(H61),H61-I61,"—")),"—")</f>
        <v/>
      </c>
    </row>
    <row r="62">
      <c r="A62" s="25" t="n"/>
      <c r="B62" s="11">
        <f>IFERROR(INDEX(Teams!$B$3:$B$52,SMALL(IF(Teams!$A$3:$A$52="C",ROW(Teams!$A$3:$A$52)-ROW(Teams!$A$3)+1),6)),"")</f>
        <v/>
      </c>
      <c r="C62" s="26">
        <f>IFERROR(IF(B62="","",SUMPRODUCT((Matches!$B$3:$B$502=$B$3)*(Matches!$D$3:$D$502=B62)*(Matches!$O$3:$O$502="Completed"))+SUMPRODUCT((Matches!$B$3:$B$502=$B$3)*(Matches!$E$3:$E$502=B62)*(Matches!$O$3:$O$502="Completed"))),"—")</f>
        <v/>
      </c>
      <c r="D62" s="26">
        <f>IFERROR(IF(B62="","",SUMPRODUCT((Matches!$B$3:$B$502=$B$3)*(Matches!$D$3:$D$502=B62)*(Matches!$N$3:$N$502=B62)*(Matches!$O$3:$O$502="Completed"))+SUMPRODUCT((Matches!$B$3:$B$502=$B$3)*(Matches!$E$3:$E$502=B62)*(Matches!$N$3:$N$502=B62)*(Matches!$O$3:$O$502="Completed"))),"—")</f>
        <v/>
      </c>
      <c r="E62" s="26">
        <f>IFERROR(IF(B62="","",SUMPRODUCT((Matches!$B$3:$B$502=$B$3)*(Matches!$D$3:$D$502=B62)*(Matches!$N$3:$N$502="Draw")*(Matches!$O$3:$O$502="Completed"))+SUMPRODUCT((Matches!$B$3:$B$502=$B$3)*(Matches!$E$3:$E$502=B62)*(Matches!$N$3:$N$502="Draw")*(Matches!$O$3:$O$502="Completed"))),"—")</f>
        <v/>
      </c>
      <c r="F62" s="26">
        <f>IFERROR(IF(B62="","",IF(ISNUMBER(C62),C62-D62-E62,"—")),"—")</f>
        <v/>
      </c>
      <c r="G62" s="27">
        <f>IFERROR(IF(B62="","",IF(ISNUMBER(D62),D62*Setup!$B$8+E62*Setup!$B$9+F62*Setup!$B$10,"—")),"—")</f>
        <v/>
      </c>
      <c r="H62" s="26">
        <f>IFERROR(IF(B62="","",SUMPRODUCT((Matches!$B$3:$B$502=$B$3)*(Matches!$D$3:$D$502=B62)*(Matches!$O$3:$O$502="Completed")*IF(ISNUMBER(Matches!$L$3:$L$502),Matches!$L$3:$L$502,0))+SUMPRODUCT((Matches!$B$3:$B$502=$B$3)*(Matches!$E$3:$E$502=B62)*(Matches!$O$3:$O$502="Completed")*IF(ISNUMBER(Matches!$M$3:$M$502),Matches!$M$3:$M$502,0))),"—")</f>
        <v/>
      </c>
      <c r="I62" s="26">
        <f>IFERROR(IF(B62="","",SUMPRODUCT((Matches!$B$3:$B$502=$B$3)*(Matches!$D$3:$D$502=B62)*(Matches!$O$3:$O$502="Completed")*IF(ISNUMBER(Matches!$M$3:$M$502),Matches!$M$3:$M$502,0))+SUMPRODUCT((Matches!$B$3:$B$502=$B$3)*(Matches!$E$3:$E$502=B62)*(Matches!$O$3:$O$502="Completed")*IF(ISNUMBER(Matches!$L$3:$L$502),Matches!$L$3:$L$502,0))),"—")</f>
        <v/>
      </c>
      <c r="J62" s="28">
        <f>IFERROR(IF(B62="","",IF(ISNUMBER(H62),H62-I62,"—")),"—")</f>
        <v/>
      </c>
    </row>
    <row r="63">
      <c r="A63" s="21" t="n"/>
      <c r="B63" s="13">
        <f>IFERROR(INDEX(Teams!$B$3:$B$52,SMALL(IF(Teams!$A$3:$A$52="C",ROW(Teams!$A$3:$A$52)-ROW(Teams!$A$3)+1),7)),"")</f>
        <v/>
      </c>
      <c r="C63" s="22">
        <f>IFERROR(IF(B63="","",SUMPRODUCT((Matches!$B$3:$B$502=$B$3)*(Matches!$D$3:$D$502=B63)*(Matches!$O$3:$O$502="Completed"))+SUMPRODUCT((Matches!$B$3:$B$502=$B$3)*(Matches!$E$3:$E$502=B63)*(Matches!$O$3:$O$502="Completed"))),"—")</f>
        <v/>
      </c>
      <c r="D63" s="22">
        <f>IFERROR(IF(B63="","",SUMPRODUCT((Matches!$B$3:$B$502=$B$3)*(Matches!$D$3:$D$502=B63)*(Matches!$N$3:$N$502=B63)*(Matches!$O$3:$O$502="Completed"))+SUMPRODUCT((Matches!$B$3:$B$502=$B$3)*(Matches!$E$3:$E$502=B63)*(Matches!$N$3:$N$502=B63)*(Matches!$O$3:$O$502="Completed"))),"—")</f>
        <v/>
      </c>
      <c r="E63" s="22">
        <f>IFERROR(IF(B63="","",SUMPRODUCT((Matches!$B$3:$B$502=$B$3)*(Matches!$D$3:$D$502=B63)*(Matches!$N$3:$N$502="Draw")*(Matches!$O$3:$O$502="Completed"))+SUMPRODUCT((Matches!$B$3:$B$502=$B$3)*(Matches!$E$3:$E$502=B63)*(Matches!$N$3:$N$502="Draw")*(Matches!$O$3:$O$502="Completed"))),"—")</f>
        <v/>
      </c>
      <c r="F63" s="22">
        <f>IFERROR(IF(B63="","",IF(ISNUMBER(C63),C63-D63-E63,"—")),"—")</f>
        <v/>
      </c>
      <c r="G63" s="23">
        <f>IFERROR(IF(B63="","",IF(ISNUMBER(D63),D63*Setup!$B$8+E63*Setup!$B$9+F63*Setup!$B$10,"—")),"—")</f>
        <v/>
      </c>
      <c r="H63" s="22">
        <f>IFERROR(IF(B63="","",SUMPRODUCT((Matches!$B$3:$B$502=$B$3)*(Matches!$D$3:$D$502=B63)*(Matches!$O$3:$O$502="Completed")*IF(ISNUMBER(Matches!$L$3:$L$502),Matches!$L$3:$L$502,0))+SUMPRODUCT((Matches!$B$3:$B$502=$B$3)*(Matches!$E$3:$E$502=B63)*(Matches!$O$3:$O$502="Completed")*IF(ISNUMBER(Matches!$M$3:$M$502),Matches!$M$3:$M$502,0))),"—")</f>
        <v/>
      </c>
      <c r="I63" s="22">
        <f>IFERROR(IF(B63="","",SUMPRODUCT((Matches!$B$3:$B$502=$B$3)*(Matches!$D$3:$D$502=B63)*(Matches!$O$3:$O$502="Completed")*IF(ISNUMBER(Matches!$M$3:$M$502),Matches!$M$3:$M$502,0))+SUMPRODUCT((Matches!$B$3:$B$502=$B$3)*(Matches!$E$3:$E$502=B63)*(Matches!$O$3:$O$502="Completed")*IF(ISNUMBER(Matches!$L$3:$L$502),Matches!$L$3:$L$502,0))),"—")</f>
        <v/>
      </c>
      <c r="J63" s="24">
        <f>IFERROR(IF(B63="","",IF(ISNUMBER(H63),H63-I63,"—")),"—")</f>
        <v/>
      </c>
    </row>
    <row r="64">
      <c r="A64" s="25" t="n"/>
      <c r="B64" s="11">
        <f>IFERROR(INDEX(Teams!$B$3:$B$52,SMALL(IF(Teams!$A$3:$A$52="C",ROW(Teams!$A$3:$A$52)-ROW(Teams!$A$3)+1),8)),"")</f>
        <v/>
      </c>
      <c r="C64" s="26">
        <f>IFERROR(IF(B64="","",SUMPRODUCT((Matches!$B$3:$B$502=$B$3)*(Matches!$D$3:$D$502=B64)*(Matches!$O$3:$O$502="Completed"))+SUMPRODUCT((Matches!$B$3:$B$502=$B$3)*(Matches!$E$3:$E$502=B64)*(Matches!$O$3:$O$502="Completed"))),"—")</f>
        <v/>
      </c>
      <c r="D64" s="26">
        <f>IFERROR(IF(B64="","",SUMPRODUCT((Matches!$B$3:$B$502=$B$3)*(Matches!$D$3:$D$502=B64)*(Matches!$N$3:$N$502=B64)*(Matches!$O$3:$O$502="Completed"))+SUMPRODUCT((Matches!$B$3:$B$502=$B$3)*(Matches!$E$3:$E$502=B64)*(Matches!$N$3:$N$502=B64)*(Matches!$O$3:$O$502="Completed"))),"—")</f>
        <v/>
      </c>
      <c r="E64" s="26">
        <f>IFERROR(IF(B64="","",SUMPRODUCT((Matches!$B$3:$B$502=$B$3)*(Matches!$D$3:$D$502=B64)*(Matches!$N$3:$N$502="Draw")*(Matches!$O$3:$O$502="Completed"))+SUMPRODUCT((Matches!$B$3:$B$502=$B$3)*(Matches!$E$3:$E$502=B64)*(Matches!$N$3:$N$502="Draw")*(Matches!$O$3:$O$502="Completed"))),"—")</f>
        <v/>
      </c>
      <c r="F64" s="26">
        <f>IFERROR(IF(B64="","",IF(ISNUMBER(C64),C64-D64-E64,"—")),"—")</f>
        <v/>
      </c>
      <c r="G64" s="27">
        <f>IFERROR(IF(B64="","",IF(ISNUMBER(D64),D64*Setup!$B$8+E64*Setup!$B$9+F64*Setup!$B$10,"—")),"—")</f>
        <v/>
      </c>
      <c r="H64" s="26">
        <f>IFERROR(IF(B64="","",SUMPRODUCT((Matches!$B$3:$B$502=$B$3)*(Matches!$D$3:$D$502=B64)*(Matches!$O$3:$O$502="Completed")*IF(ISNUMBER(Matches!$L$3:$L$502),Matches!$L$3:$L$502,0))+SUMPRODUCT((Matches!$B$3:$B$502=$B$3)*(Matches!$E$3:$E$502=B64)*(Matches!$O$3:$O$502="Completed")*IF(ISNUMBER(Matches!$M$3:$M$502),Matches!$M$3:$M$502,0))),"—")</f>
        <v/>
      </c>
      <c r="I64" s="26">
        <f>IFERROR(IF(B64="","",SUMPRODUCT((Matches!$B$3:$B$502=$B$3)*(Matches!$D$3:$D$502=B64)*(Matches!$O$3:$O$502="Completed")*IF(ISNUMBER(Matches!$M$3:$M$502),Matches!$M$3:$M$502,0))+SUMPRODUCT((Matches!$B$3:$B$502=$B$3)*(Matches!$E$3:$E$502=B64)*(Matches!$O$3:$O$502="Completed")*IF(ISNUMBER(Matches!$L$3:$L$502),Matches!$L$3:$L$502,0))),"—")</f>
        <v/>
      </c>
      <c r="J64" s="28">
        <f>IFERROR(IF(B64="","",IF(ISNUMBER(H64),H64-I64,"—")),"—")</f>
        <v/>
      </c>
    </row>
    <row r="65">
      <c r="A65" s="21" t="n"/>
      <c r="B65" s="13">
        <f>IFERROR(INDEX(Teams!$B$3:$B$52,SMALL(IF(Teams!$A$3:$A$52="C",ROW(Teams!$A$3:$A$52)-ROW(Teams!$A$3)+1),9)),"")</f>
        <v/>
      </c>
      <c r="C65" s="22">
        <f>IFERROR(IF(B65="","",SUMPRODUCT((Matches!$B$3:$B$502=$B$3)*(Matches!$D$3:$D$502=B65)*(Matches!$O$3:$O$502="Completed"))+SUMPRODUCT((Matches!$B$3:$B$502=$B$3)*(Matches!$E$3:$E$502=B65)*(Matches!$O$3:$O$502="Completed"))),"—")</f>
        <v/>
      </c>
      <c r="D65" s="22">
        <f>IFERROR(IF(B65="","",SUMPRODUCT((Matches!$B$3:$B$502=$B$3)*(Matches!$D$3:$D$502=B65)*(Matches!$N$3:$N$502=B65)*(Matches!$O$3:$O$502="Completed"))+SUMPRODUCT((Matches!$B$3:$B$502=$B$3)*(Matches!$E$3:$E$502=B65)*(Matches!$N$3:$N$502=B65)*(Matches!$O$3:$O$502="Completed"))),"—")</f>
        <v/>
      </c>
      <c r="E65" s="22">
        <f>IFERROR(IF(B65="","",SUMPRODUCT((Matches!$B$3:$B$502=$B$3)*(Matches!$D$3:$D$502=B65)*(Matches!$N$3:$N$502="Draw")*(Matches!$O$3:$O$502="Completed"))+SUMPRODUCT((Matches!$B$3:$B$502=$B$3)*(Matches!$E$3:$E$502=B65)*(Matches!$N$3:$N$502="Draw")*(Matches!$O$3:$O$502="Completed"))),"—")</f>
        <v/>
      </c>
      <c r="F65" s="22">
        <f>IFERROR(IF(B65="","",IF(ISNUMBER(C65),C65-D65-E65,"—")),"—")</f>
        <v/>
      </c>
      <c r="G65" s="23">
        <f>IFERROR(IF(B65="","",IF(ISNUMBER(D65),D65*Setup!$B$8+E65*Setup!$B$9+F65*Setup!$B$10,"—")),"—")</f>
        <v/>
      </c>
      <c r="H65" s="22">
        <f>IFERROR(IF(B65="","",SUMPRODUCT((Matches!$B$3:$B$502=$B$3)*(Matches!$D$3:$D$502=B65)*(Matches!$O$3:$O$502="Completed")*IF(ISNUMBER(Matches!$L$3:$L$502),Matches!$L$3:$L$502,0))+SUMPRODUCT((Matches!$B$3:$B$502=$B$3)*(Matches!$E$3:$E$502=B65)*(Matches!$O$3:$O$502="Completed")*IF(ISNUMBER(Matches!$M$3:$M$502),Matches!$M$3:$M$502,0))),"—")</f>
        <v/>
      </c>
      <c r="I65" s="22">
        <f>IFERROR(IF(B65="","",SUMPRODUCT((Matches!$B$3:$B$502=$B$3)*(Matches!$D$3:$D$502=B65)*(Matches!$O$3:$O$502="Completed")*IF(ISNUMBER(Matches!$M$3:$M$502),Matches!$M$3:$M$502,0))+SUMPRODUCT((Matches!$B$3:$B$502=$B$3)*(Matches!$E$3:$E$502=B65)*(Matches!$O$3:$O$502="Completed")*IF(ISNUMBER(Matches!$L$3:$L$502),Matches!$L$3:$L$502,0))),"—")</f>
        <v/>
      </c>
      <c r="J65" s="24">
        <f>IFERROR(IF(B65="","",IF(ISNUMBER(H65),H65-I65,"—")),"—")</f>
        <v/>
      </c>
    </row>
    <row r="66">
      <c r="A66" s="25" t="n"/>
      <c r="B66" s="11">
        <f>IFERROR(INDEX(Teams!$B$3:$B$52,SMALL(IF(Teams!$A$3:$A$52="C",ROW(Teams!$A$3:$A$52)-ROW(Teams!$A$3)+1),10)),"")</f>
        <v/>
      </c>
      <c r="C66" s="26">
        <f>IFERROR(IF(B66="","",SUMPRODUCT((Matches!$B$3:$B$502=$B$3)*(Matches!$D$3:$D$502=B66)*(Matches!$O$3:$O$502="Completed"))+SUMPRODUCT((Matches!$B$3:$B$502=$B$3)*(Matches!$E$3:$E$502=B66)*(Matches!$O$3:$O$502="Completed"))),"—")</f>
        <v/>
      </c>
      <c r="D66" s="26">
        <f>IFERROR(IF(B66="","",SUMPRODUCT((Matches!$B$3:$B$502=$B$3)*(Matches!$D$3:$D$502=B66)*(Matches!$N$3:$N$502=B66)*(Matches!$O$3:$O$502="Completed"))+SUMPRODUCT((Matches!$B$3:$B$502=$B$3)*(Matches!$E$3:$E$502=B66)*(Matches!$N$3:$N$502=B66)*(Matches!$O$3:$O$502="Completed"))),"—")</f>
        <v/>
      </c>
      <c r="E66" s="26">
        <f>IFERROR(IF(B66="","",SUMPRODUCT((Matches!$B$3:$B$502=$B$3)*(Matches!$D$3:$D$502=B66)*(Matches!$N$3:$N$502="Draw")*(Matches!$O$3:$O$502="Completed"))+SUMPRODUCT((Matches!$B$3:$B$502=$B$3)*(Matches!$E$3:$E$502=B66)*(Matches!$N$3:$N$502="Draw")*(Matches!$O$3:$O$502="Completed"))),"—")</f>
        <v/>
      </c>
      <c r="F66" s="26">
        <f>IFERROR(IF(B66="","",IF(ISNUMBER(C66),C66-D66-E66,"—")),"—")</f>
        <v/>
      </c>
      <c r="G66" s="27">
        <f>IFERROR(IF(B66="","",IF(ISNUMBER(D66),D66*Setup!$B$8+E66*Setup!$B$9+F66*Setup!$B$10,"—")),"—")</f>
        <v/>
      </c>
      <c r="H66" s="26">
        <f>IFERROR(IF(B66="","",SUMPRODUCT((Matches!$B$3:$B$502=$B$3)*(Matches!$D$3:$D$502=B66)*(Matches!$O$3:$O$502="Completed")*IF(ISNUMBER(Matches!$L$3:$L$502),Matches!$L$3:$L$502,0))+SUMPRODUCT((Matches!$B$3:$B$502=$B$3)*(Matches!$E$3:$E$502=B66)*(Matches!$O$3:$O$502="Completed")*IF(ISNUMBER(Matches!$M$3:$M$502),Matches!$M$3:$M$502,0))),"—")</f>
        <v/>
      </c>
      <c r="I66" s="26">
        <f>IFERROR(IF(B66="","",SUMPRODUCT((Matches!$B$3:$B$502=$B$3)*(Matches!$D$3:$D$502=B66)*(Matches!$O$3:$O$502="Completed")*IF(ISNUMBER(Matches!$M$3:$M$502),Matches!$M$3:$M$502,0))+SUMPRODUCT((Matches!$B$3:$B$502=$B$3)*(Matches!$E$3:$E$502=B66)*(Matches!$O$3:$O$502="Completed")*IF(ISNUMBER(Matches!$L$3:$L$502),Matches!$L$3:$L$502,0))),"—")</f>
        <v/>
      </c>
      <c r="J66" s="28">
        <f>IFERROR(IF(B66="","",IF(ISNUMBER(H66),H66-I66,"—")),"—")</f>
        <v/>
      </c>
    </row>
    <row r="67">
      <c r="A67" s="21" t="n"/>
      <c r="B67" s="13">
        <f>IFERROR(INDEX(Teams!$B$3:$B$52,SMALL(IF(Teams!$A$3:$A$52="C",ROW(Teams!$A$3:$A$52)-ROW(Teams!$A$3)+1),11)),"")</f>
        <v/>
      </c>
      <c r="C67" s="22">
        <f>IFERROR(IF(B67="","",SUMPRODUCT((Matches!$B$3:$B$502=$B$3)*(Matches!$D$3:$D$502=B67)*(Matches!$O$3:$O$502="Completed"))+SUMPRODUCT((Matches!$B$3:$B$502=$B$3)*(Matches!$E$3:$E$502=B67)*(Matches!$O$3:$O$502="Completed"))),"—")</f>
        <v/>
      </c>
      <c r="D67" s="22">
        <f>IFERROR(IF(B67="","",SUMPRODUCT((Matches!$B$3:$B$502=$B$3)*(Matches!$D$3:$D$502=B67)*(Matches!$N$3:$N$502=B67)*(Matches!$O$3:$O$502="Completed"))+SUMPRODUCT((Matches!$B$3:$B$502=$B$3)*(Matches!$E$3:$E$502=B67)*(Matches!$N$3:$N$502=B67)*(Matches!$O$3:$O$502="Completed"))),"—")</f>
        <v/>
      </c>
      <c r="E67" s="22">
        <f>IFERROR(IF(B67="","",SUMPRODUCT((Matches!$B$3:$B$502=$B$3)*(Matches!$D$3:$D$502=B67)*(Matches!$N$3:$N$502="Draw")*(Matches!$O$3:$O$502="Completed"))+SUMPRODUCT((Matches!$B$3:$B$502=$B$3)*(Matches!$E$3:$E$502=B67)*(Matches!$N$3:$N$502="Draw")*(Matches!$O$3:$O$502="Completed"))),"—")</f>
        <v/>
      </c>
      <c r="F67" s="22">
        <f>IFERROR(IF(B67="","",IF(ISNUMBER(C67),C67-D67-E67,"—")),"—")</f>
        <v/>
      </c>
      <c r="G67" s="23">
        <f>IFERROR(IF(B67="","",IF(ISNUMBER(D67),D67*Setup!$B$8+E67*Setup!$B$9+F67*Setup!$B$10,"—")),"—")</f>
        <v/>
      </c>
      <c r="H67" s="22">
        <f>IFERROR(IF(B67="","",SUMPRODUCT((Matches!$B$3:$B$502=$B$3)*(Matches!$D$3:$D$502=B67)*(Matches!$O$3:$O$502="Completed")*IF(ISNUMBER(Matches!$L$3:$L$502),Matches!$L$3:$L$502,0))+SUMPRODUCT((Matches!$B$3:$B$502=$B$3)*(Matches!$E$3:$E$502=B67)*(Matches!$O$3:$O$502="Completed")*IF(ISNUMBER(Matches!$M$3:$M$502),Matches!$M$3:$M$502,0))),"—")</f>
        <v/>
      </c>
      <c r="I67" s="22">
        <f>IFERROR(IF(B67="","",SUMPRODUCT((Matches!$B$3:$B$502=$B$3)*(Matches!$D$3:$D$502=B67)*(Matches!$O$3:$O$502="Completed")*IF(ISNUMBER(Matches!$M$3:$M$502),Matches!$M$3:$M$502,0))+SUMPRODUCT((Matches!$B$3:$B$502=$B$3)*(Matches!$E$3:$E$502=B67)*(Matches!$O$3:$O$502="Completed")*IF(ISNUMBER(Matches!$L$3:$L$502),Matches!$L$3:$L$502,0))),"—")</f>
        <v/>
      </c>
      <c r="J67" s="24">
        <f>IFERROR(IF(B67="","",IF(ISNUMBER(H67),H67-I67,"—")),"—")</f>
        <v/>
      </c>
    </row>
    <row r="68">
      <c r="A68" s="25" t="n"/>
      <c r="B68" s="11">
        <f>IFERROR(INDEX(Teams!$B$3:$B$52,SMALL(IF(Teams!$A$3:$A$52="C",ROW(Teams!$A$3:$A$52)-ROW(Teams!$A$3)+1),12)),"")</f>
        <v/>
      </c>
      <c r="C68" s="26">
        <f>IFERROR(IF(B68="","",SUMPRODUCT((Matches!$B$3:$B$502=$B$3)*(Matches!$D$3:$D$502=B68)*(Matches!$O$3:$O$502="Completed"))+SUMPRODUCT((Matches!$B$3:$B$502=$B$3)*(Matches!$E$3:$E$502=B68)*(Matches!$O$3:$O$502="Completed"))),"—")</f>
        <v/>
      </c>
      <c r="D68" s="26">
        <f>IFERROR(IF(B68="","",SUMPRODUCT((Matches!$B$3:$B$502=$B$3)*(Matches!$D$3:$D$502=B68)*(Matches!$N$3:$N$502=B68)*(Matches!$O$3:$O$502="Completed"))+SUMPRODUCT((Matches!$B$3:$B$502=$B$3)*(Matches!$E$3:$E$502=B68)*(Matches!$N$3:$N$502=B68)*(Matches!$O$3:$O$502="Completed"))),"—")</f>
        <v/>
      </c>
      <c r="E68" s="26">
        <f>IFERROR(IF(B68="","",SUMPRODUCT((Matches!$B$3:$B$502=$B$3)*(Matches!$D$3:$D$502=B68)*(Matches!$N$3:$N$502="Draw")*(Matches!$O$3:$O$502="Completed"))+SUMPRODUCT((Matches!$B$3:$B$502=$B$3)*(Matches!$E$3:$E$502=B68)*(Matches!$N$3:$N$502="Draw")*(Matches!$O$3:$O$502="Completed"))),"—")</f>
        <v/>
      </c>
      <c r="F68" s="26">
        <f>IFERROR(IF(B68="","",IF(ISNUMBER(C68),C68-D68-E68,"—")),"—")</f>
        <v/>
      </c>
      <c r="G68" s="27">
        <f>IFERROR(IF(B68="","",IF(ISNUMBER(D68),D68*Setup!$B$8+E68*Setup!$B$9+F68*Setup!$B$10,"—")),"—")</f>
        <v/>
      </c>
      <c r="H68" s="26">
        <f>IFERROR(IF(B68="","",SUMPRODUCT((Matches!$B$3:$B$502=$B$3)*(Matches!$D$3:$D$502=B68)*(Matches!$O$3:$O$502="Completed")*IF(ISNUMBER(Matches!$L$3:$L$502),Matches!$L$3:$L$502,0))+SUMPRODUCT((Matches!$B$3:$B$502=$B$3)*(Matches!$E$3:$E$502=B68)*(Matches!$O$3:$O$502="Completed")*IF(ISNUMBER(Matches!$M$3:$M$502),Matches!$M$3:$M$502,0))),"—")</f>
        <v/>
      </c>
      <c r="I68" s="26">
        <f>IFERROR(IF(B68="","",SUMPRODUCT((Matches!$B$3:$B$502=$B$3)*(Matches!$D$3:$D$502=B68)*(Matches!$O$3:$O$502="Completed")*IF(ISNUMBER(Matches!$M$3:$M$502),Matches!$M$3:$M$502,0))+SUMPRODUCT((Matches!$B$3:$B$502=$B$3)*(Matches!$E$3:$E$502=B68)*(Matches!$O$3:$O$502="Completed")*IF(ISNUMBER(Matches!$L$3:$L$502),Matches!$L$3:$L$502,0))),"—")</f>
        <v/>
      </c>
      <c r="J68" s="28">
        <f>IFERROR(IF(B68="","",IF(ISNUMBER(H68),H68-I68,"—")),"—")</f>
        <v/>
      </c>
    </row>
    <row r="69">
      <c r="A69" s="21" t="n"/>
      <c r="B69" s="13">
        <f>IFERROR(INDEX(Teams!$B$3:$B$52,SMALL(IF(Teams!$A$3:$A$52="C",ROW(Teams!$A$3:$A$52)-ROW(Teams!$A$3)+1),13)),"")</f>
        <v/>
      </c>
      <c r="C69" s="22">
        <f>IFERROR(IF(B69="","",SUMPRODUCT((Matches!$B$3:$B$502=$B$3)*(Matches!$D$3:$D$502=B69)*(Matches!$O$3:$O$502="Completed"))+SUMPRODUCT((Matches!$B$3:$B$502=$B$3)*(Matches!$E$3:$E$502=B69)*(Matches!$O$3:$O$502="Completed"))),"—")</f>
        <v/>
      </c>
      <c r="D69" s="22">
        <f>IFERROR(IF(B69="","",SUMPRODUCT((Matches!$B$3:$B$502=$B$3)*(Matches!$D$3:$D$502=B69)*(Matches!$N$3:$N$502=B69)*(Matches!$O$3:$O$502="Completed"))+SUMPRODUCT((Matches!$B$3:$B$502=$B$3)*(Matches!$E$3:$E$502=B69)*(Matches!$N$3:$N$502=B69)*(Matches!$O$3:$O$502="Completed"))),"—")</f>
        <v/>
      </c>
      <c r="E69" s="22">
        <f>IFERROR(IF(B69="","",SUMPRODUCT((Matches!$B$3:$B$502=$B$3)*(Matches!$D$3:$D$502=B69)*(Matches!$N$3:$N$502="Draw")*(Matches!$O$3:$O$502="Completed"))+SUMPRODUCT((Matches!$B$3:$B$502=$B$3)*(Matches!$E$3:$E$502=B69)*(Matches!$N$3:$N$502="Draw")*(Matches!$O$3:$O$502="Completed"))),"—")</f>
        <v/>
      </c>
      <c r="F69" s="22">
        <f>IFERROR(IF(B69="","",IF(ISNUMBER(C69),C69-D69-E69,"—")),"—")</f>
        <v/>
      </c>
      <c r="G69" s="23">
        <f>IFERROR(IF(B69="","",IF(ISNUMBER(D69),D69*Setup!$B$8+E69*Setup!$B$9+F69*Setup!$B$10,"—")),"—")</f>
        <v/>
      </c>
      <c r="H69" s="22">
        <f>IFERROR(IF(B69="","",SUMPRODUCT((Matches!$B$3:$B$502=$B$3)*(Matches!$D$3:$D$502=B69)*(Matches!$O$3:$O$502="Completed")*IF(ISNUMBER(Matches!$L$3:$L$502),Matches!$L$3:$L$502,0))+SUMPRODUCT((Matches!$B$3:$B$502=$B$3)*(Matches!$E$3:$E$502=B69)*(Matches!$O$3:$O$502="Completed")*IF(ISNUMBER(Matches!$M$3:$M$502),Matches!$M$3:$M$502,0))),"—")</f>
        <v/>
      </c>
      <c r="I69" s="22">
        <f>IFERROR(IF(B69="","",SUMPRODUCT((Matches!$B$3:$B$502=$B$3)*(Matches!$D$3:$D$502=B69)*(Matches!$O$3:$O$502="Completed")*IF(ISNUMBER(Matches!$M$3:$M$502),Matches!$M$3:$M$502,0))+SUMPRODUCT((Matches!$B$3:$B$502=$B$3)*(Matches!$E$3:$E$502=B69)*(Matches!$O$3:$O$502="Completed")*IF(ISNUMBER(Matches!$L$3:$L$502),Matches!$L$3:$L$502,0))),"—")</f>
        <v/>
      </c>
      <c r="J69" s="24">
        <f>IFERROR(IF(B69="","",IF(ISNUMBER(H69),H69-I69,"—")),"—")</f>
        <v/>
      </c>
    </row>
    <row r="70">
      <c r="A70" s="25" t="n"/>
      <c r="B70" s="11">
        <f>IFERROR(INDEX(Teams!$B$3:$B$52,SMALL(IF(Teams!$A$3:$A$52="C",ROW(Teams!$A$3:$A$52)-ROW(Teams!$A$3)+1),14)),"")</f>
        <v/>
      </c>
      <c r="C70" s="26">
        <f>IFERROR(IF(B70="","",SUMPRODUCT((Matches!$B$3:$B$502=$B$3)*(Matches!$D$3:$D$502=B70)*(Matches!$O$3:$O$502="Completed"))+SUMPRODUCT((Matches!$B$3:$B$502=$B$3)*(Matches!$E$3:$E$502=B70)*(Matches!$O$3:$O$502="Completed"))),"—")</f>
        <v/>
      </c>
      <c r="D70" s="26">
        <f>IFERROR(IF(B70="","",SUMPRODUCT((Matches!$B$3:$B$502=$B$3)*(Matches!$D$3:$D$502=B70)*(Matches!$N$3:$N$502=B70)*(Matches!$O$3:$O$502="Completed"))+SUMPRODUCT((Matches!$B$3:$B$502=$B$3)*(Matches!$E$3:$E$502=B70)*(Matches!$N$3:$N$502=B70)*(Matches!$O$3:$O$502="Completed"))),"—")</f>
        <v/>
      </c>
      <c r="E70" s="26">
        <f>IFERROR(IF(B70="","",SUMPRODUCT((Matches!$B$3:$B$502=$B$3)*(Matches!$D$3:$D$502=B70)*(Matches!$N$3:$N$502="Draw")*(Matches!$O$3:$O$502="Completed"))+SUMPRODUCT((Matches!$B$3:$B$502=$B$3)*(Matches!$E$3:$E$502=B70)*(Matches!$N$3:$N$502="Draw")*(Matches!$O$3:$O$502="Completed"))),"—")</f>
        <v/>
      </c>
      <c r="F70" s="26">
        <f>IFERROR(IF(B70="","",IF(ISNUMBER(C70),C70-D70-E70,"—")),"—")</f>
        <v/>
      </c>
      <c r="G70" s="27">
        <f>IFERROR(IF(B70="","",IF(ISNUMBER(D70),D70*Setup!$B$8+E70*Setup!$B$9+F70*Setup!$B$10,"—")),"—")</f>
        <v/>
      </c>
      <c r="H70" s="26">
        <f>IFERROR(IF(B70="","",SUMPRODUCT((Matches!$B$3:$B$502=$B$3)*(Matches!$D$3:$D$502=B70)*(Matches!$O$3:$O$502="Completed")*IF(ISNUMBER(Matches!$L$3:$L$502),Matches!$L$3:$L$502,0))+SUMPRODUCT((Matches!$B$3:$B$502=$B$3)*(Matches!$E$3:$E$502=B70)*(Matches!$O$3:$O$502="Completed")*IF(ISNUMBER(Matches!$M$3:$M$502),Matches!$M$3:$M$502,0))),"—")</f>
        <v/>
      </c>
      <c r="I70" s="26">
        <f>IFERROR(IF(B70="","",SUMPRODUCT((Matches!$B$3:$B$502=$B$3)*(Matches!$D$3:$D$502=B70)*(Matches!$O$3:$O$502="Completed")*IF(ISNUMBER(Matches!$M$3:$M$502),Matches!$M$3:$M$502,0))+SUMPRODUCT((Matches!$B$3:$B$502=$B$3)*(Matches!$E$3:$E$502=B70)*(Matches!$O$3:$O$502="Completed")*IF(ISNUMBER(Matches!$L$3:$L$502),Matches!$L$3:$L$502,0))),"—")</f>
        <v/>
      </c>
      <c r="J70" s="28">
        <f>IFERROR(IF(B70="","",IF(ISNUMBER(H70),H70-I70,"—")),"—")</f>
        <v/>
      </c>
    </row>
    <row r="71">
      <c r="A71" s="21" t="n"/>
      <c r="B71" s="13">
        <f>IFERROR(INDEX(Teams!$B$3:$B$52,SMALL(IF(Teams!$A$3:$A$52="C",ROW(Teams!$A$3:$A$52)-ROW(Teams!$A$3)+1),15)),"")</f>
        <v/>
      </c>
      <c r="C71" s="22">
        <f>IFERROR(IF(B71="","",SUMPRODUCT((Matches!$B$3:$B$502=$B$3)*(Matches!$D$3:$D$502=B71)*(Matches!$O$3:$O$502="Completed"))+SUMPRODUCT((Matches!$B$3:$B$502=$B$3)*(Matches!$E$3:$E$502=B71)*(Matches!$O$3:$O$502="Completed"))),"—")</f>
        <v/>
      </c>
      <c r="D71" s="22">
        <f>IFERROR(IF(B71="","",SUMPRODUCT((Matches!$B$3:$B$502=$B$3)*(Matches!$D$3:$D$502=B71)*(Matches!$N$3:$N$502=B71)*(Matches!$O$3:$O$502="Completed"))+SUMPRODUCT((Matches!$B$3:$B$502=$B$3)*(Matches!$E$3:$E$502=B71)*(Matches!$N$3:$N$502=B71)*(Matches!$O$3:$O$502="Completed"))),"—")</f>
        <v/>
      </c>
      <c r="E71" s="22">
        <f>IFERROR(IF(B71="","",SUMPRODUCT((Matches!$B$3:$B$502=$B$3)*(Matches!$D$3:$D$502=B71)*(Matches!$N$3:$N$502="Draw")*(Matches!$O$3:$O$502="Completed"))+SUMPRODUCT((Matches!$B$3:$B$502=$B$3)*(Matches!$E$3:$E$502=B71)*(Matches!$N$3:$N$502="Draw")*(Matches!$O$3:$O$502="Completed"))),"—")</f>
        <v/>
      </c>
      <c r="F71" s="22">
        <f>IFERROR(IF(B71="","",IF(ISNUMBER(C71),C71-D71-E71,"—")),"—")</f>
        <v/>
      </c>
      <c r="G71" s="23">
        <f>IFERROR(IF(B71="","",IF(ISNUMBER(D71),D71*Setup!$B$8+E71*Setup!$B$9+F71*Setup!$B$10,"—")),"—")</f>
        <v/>
      </c>
      <c r="H71" s="22">
        <f>IFERROR(IF(B71="","",SUMPRODUCT((Matches!$B$3:$B$502=$B$3)*(Matches!$D$3:$D$502=B71)*(Matches!$O$3:$O$502="Completed")*IF(ISNUMBER(Matches!$L$3:$L$502),Matches!$L$3:$L$502,0))+SUMPRODUCT((Matches!$B$3:$B$502=$B$3)*(Matches!$E$3:$E$502=B71)*(Matches!$O$3:$O$502="Completed")*IF(ISNUMBER(Matches!$M$3:$M$502),Matches!$M$3:$M$502,0))),"—")</f>
        <v/>
      </c>
      <c r="I71" s="22">
        <f>IFERROR(IF(B71="","",SUMPRODUCT((Matches!$B$3:$B$502=$B$3)*(Matches!$D$3:$D$502=B71)*(Matches!$O$3:$O$502="Completed")*IF(ISNUMBER(Matches!$M$3:$M$502),Matches!$M$3:$M$502,0))+SUMPRODUCT((Matches!$B$3:$B$502=$B$3)*(Matches!$E$3:$E$502=B71)*(Matches!$O$3:$O$502="Completed")*IF(ISNUMBER(Matches!$L$3:$L$502),Matches!$L$3:$L$502,0))),"—")</f>
        <v/>
      </c>
      <c r="J71" s="24">
        <f>IFERROR(IF(B71="","",IF(ISNUMBER(H71),H71-I71,"—")),"—")</f>
        <v/>
      </c>
    </row>
    <row r="72">
      <c r="A72" s="25" t="n"/>
      <c r="B72" s="11">
        <f>IFERROR(INDEX(Teams!$B$3:$B$52,SMALL(IF(Teams!$A$3:$A$52="C",ROW(Teams!$A$3:$A$52)-ROW(Teams!$A$3)+1),16)),"")</f>
        <v/>
      </c>
      <c r="C72" s="26">
        <f>IFERROR(IF(B72="","",SUMPRODUCT((Matches!$B$3:$B$502=$B$3)*(Matches!$D$3:$D$502=B72)*(Matches!$O$3:$O$502="Completed"))+SUMPRODUCT((Matches!$B$3:$B$502=$B$3)*(Matches!$E$3:$E$502=B72)*(Matches!$O$3:$O$502="Completed"))),"—")</f>
        <v/>
      </c>
      <c r="D72" s="26">
        <f>IFERROR(IF(B72="","",SUMPRODUCT((Matches!$B$3:$B$502=$B$3)*(Matches!$D$3:$D$502=B72)*(Matches!$N$3:$N$502=B72)*(Matches!$O$3:$O$502="Completed"))+SUMPRODUCT((Matches!$B$3:$B$502=$B$3)*(Matches!$E$3:$E$502=B72)*(Matches!$N$3:$N$502=B72)*(Matches!$O$3:$O$502="Completed"))),"—")</f>
        <v/>
      </c>
      <c r="E72" s="26">
        <f>IFERROR(IF(B72="","",SUMPRODUCT((Matches!$B$3:$B$502=$B$3)*(Matches!$D$3:$D$502=B72)*(Matches!$N$3:$N$502="Draw")*(Matches!$O$3:$O$502="Completed"))+SUMPRODUCT((Matches!$B$3:$B$502=$B$3)*(Matches!$E$3:$E$502=B72)*(Matches!$N$3:$N$502="Draw")*(Matches!$O$3:$O$502="Completed"))),"—")</f>
        <v/>
      </c>
      <c r="F72" s="26">
        <f>IFERROR(IF(B72="","",IF(ISNUMBER(C72),C72-D72-E72,"—")),"—")</f>
        <v/>
      </c>
      <c r="G72" s="27">
        <f>IFERROR(IF(B72="","",IF(ISNUMBER(D72),D72*Setup!$B$8+E72*Setup!$B$9+F72*Setup!$B$10,"—")),"—")</f>
        <v/>
      </c>
      <c r="H72" s="26">
        <f>IFERROR(IF(B72="","",SUMPRODUCT((Matches!$B$3:$B$502=$B$3)*(Matches!$D$3:$D$502=B72)*(Matches!$O$3:$O$502="Completed")*IF(ISNUMBER(Matches!$L$3:$L$502),Matches!$L$3:$L$502,0))+SUMPRODUCT((Matches!$B$3:$B$502=$B$3)*(Matches!$E$3:$E$502=B72)*(Matches!$O$3:$O$502="Completed")*IF(ISNUMBER(Matches!$M$3:$M$502),Matches!$M$3:$M$502,0))),"—")</f>
        <v/>
      </c>
      <c r="I72" s="26">
        <f>IFERROR(IF(B72="","",SUMPRODUCT((Matches!$B$3:$B$502=$B$3)*(Matches!$D$3:$D$502=B72)*(Matches!$O$3:$O$502="Completed")*IF(ISNUMBER(Matches!$M$3:$M$502),Matches!$M$3:$M$502,0))+SUMPRODUCT((Matches!$B$3:$B$502=$B$3)*(Matches!$E$3:$E$502=B72)*(Matches!$O$3:$O$502="Completed")*IF(ISNUMBER(Matches!$L$3:$L$502),Matches!$L$3:$L$502,0))),"—")</f>
        <v/>
      </c>
      <c r="J72" s="28">
        <f>IFERROR(IF(B72="","",IF(ISNUMBER(H72),H72-I72,"—")),"—")</f>
        <v/>
      </c>
    </row>
    <row r="73">
      <c r="A73" s="21" t="n"/>
      <c r="B73" s="13">
        <f>IFERROR(INDEX(Teams!$B$3:$B$52,SMALL(IF(Teams!$A$3:$A$52="C",ROW(Teams!$A$3:$A$52)-ROW(Teams!$A$3)+1),17)),"")</f>
        <v/>
      </c>
      <c r="C73" s="22">
        <f>IFERROR(IF(B73="","",SUMPRODUCT((Matches!$B$3:$B$502=$B$3)*(Matches!$D$3:$D$502=B73)*(Matches!$O$3:$O$502="Completed"))+SUMPRODUCT((Matches!$B$3:$B$502=$B$3)*(Matches!$E$3:$E$502=B73)*(Matches!$O$3:$O$502="Completed"))),"—")</f>
        <v/>
      </c>
      <c r="D73" s="22">
        <f>IFERROR(IF(B73="","",SUMPRODUCT((Matches!$B$3:$B$502=$B$3)*(Matches!$D$3:$D$502=B73)*(Matches!$N$3:$N$502=B73)*(Matches!$O$3:$O$502="Completed"))+SUMPRODUCT((Matches!$B$3:$B$502=$B$3)*(Matches!$E$3:$E$502=B73)*(Matches!$N$3:$N$502=B73)*(Matches!$O$3:$O$502="Completed"))),"—")</f>
        <v/>
      </c>
      <c r="E73" s="22">
        <f>IFERROR(IF(B73="","",SUMPRODUCT((Matches!$B$3:$B$502=$B$3)*(Matches!$D$3:$D$502=B73)*(Matches!$N$3:$N$502="Draw")*(Matches!$O$3:$O$502="Completed"))+SUMPRODUCT((Matches!$B$3:$B$502=$B$3)*(Matches!$E$3:$E$502=B73)*(Matches!$N$3:$N$502="Draw")*(Matches!$O$3:$O$502="Completed"))),"—")</f>
        <v/>
      </c>
      <c r="F73" s="22">
        <f>IFERROR(IF(B73="","",IF(ISNUMBER(C73),C73-D73-E73,"—")),"—")</f>
        <v/>
      </c>
      <c r="G73" s="23">
        <f>IFERROR(IF(B73="","",IF(ISNUMBER(D73),D73*Setup!$B$8+E73*Setup!$B$9+F73*Setup!$B$10,"—")),"—")</f>
        <v/>
      </c>
      <c r="H73" s="22">
        <f>IFERROR(IF(B73="","",SUMPRODUCT((Matches!$B$3:$B$502=$B$3)*(Matches!$D$3:$D$502=B73)*(Matches!$O$3:$O$502="Completed")*IF(ISNUMBER(Matches!$L$3:$L$502),Matches!$L$3:$L$502,0))+SUMPRODUCT((Matches!$B$3:$B$502=$B$3)*(Matches!$E$3:$E$502=B73)*(Matches!$O$3:$O$502="Completed")*IF(ISNUMBER(Matches!$M$3:$M$502),Matches!$M$3:$M$502,0))),"—")</f>
        <v/>
      </c>
      <c r="I73" s="22">
        <f>IFERROR(IF(B73="","",SUMPRODUCT((Matches!$B$3:$B$502=$B$3)*(Matches!$D$3:$D$502=B73)*(Matches!$O$3:$O$502="Completed")*IF(ISNUMBER(Matches!$M$3:$M$502),Matches!$M$3:$M$502,0))+SUMPRODUCT((Matches!$B$3:$B$502=$B$3)*(Matches!$E$3:$E$502=B73)*(Matches!$O$3:$O$502="Completed")*IF(ISNUMBER(Matches!$L$3:$L$502),Matches!$L$3:$L$502,0))),"—")</f>
        <v/>
      </c>
      <c r="J73" s="24">
        <f>IFERROR(IF(B73="","",IF(ISNUMBER(H73),H73-I73,"—")),"—")</f>
        <v/>
      </c>
    </row>
    <row r="74">
      <c r="A74" s="25" t="n"/>
      <c r="B74" s="11">
        <f>IFERROR(INDEX(Teams!$B$3:$B$52,SMALL(IF(Teams!$A$3:$A$52="C",ROW(Teams!$A$3:$A$52)-ROW(Teams!$A$3)+1),18)),"")</f>
        <v/>
      </c>
      <c r="C74" s="26">
        <f>IFERROR(IF(B74="","",SUMPRODUCT((Matches!$B$3:$B$502=$B$3)*(Matches!$D$3:$D$502=B74)*(Matches!$O$3:$O$502="Completed"))+SUMPRODUCT((Matches!$B$3:$B$502=$B$3)*(Matches!$E$3:$E$502=B74)*(Matches!$O$3:$O$502="Completed"))),"—")</f>
        <v/>
      </c>
      <c r="D74" s="26">
        <f>IFERROR(IF(B74="","",SUMPRODUCT((Matches!$B$3:$B$502=$B$3)*(Matches!$D$3:$D$502=B74)*(Matches!$N$3:$N$502=B74)*(Matches!$O$3:$O$502="Completed"))+SUMPRODUCT((Matches!$B$3:$B$502=$B$3)*(Matches!$E$3:$E$502=B74)*(Matches!$N$3:$N$502=B74)*(Matches!$O$3:$O$502="Completed"))),"—")</f>
        <v/>
      </c>
      <c r="E74" s="26">
        <f>IFERROR(IF(B74="","",SUMPRODUCT((Matches!$B$3:$B$502=$B$3)*(Matches!$D$3:$D$502=B74)*(Matches!$N$3:$N$502="Draw")*(Matches!$O$3:$O$502="Completed"))+SUMPRODUCT((Matches!$B$3:$B$502=$B$3)*(Matches!$E$3:$E$502=B74)*(Matches!$N$3:$N$502="Draw")*(Matches!$O$3:$O$502="Completed"))),"—")</f>
        <v/>
      </c>
      <c r="F74" s="26">
        <f>IFERROR(IF(B74="","",IF(ISNUMBER(C74),C74-D74-E74,"—")),"—")</f>
        <v/>
      </c>
      <c r="G74" s="27">
        <f>IFERROR(IF(B74="","",IF(ISNUMBER(D74),D74*Setup!$B$8+E74*Setup!$B$9+F74*Setup!$B$10,"—")),"—")</f>
        <v/>
      </c>
      <c r="H74" s="26">
        <f>IFERROR(IF(B74="","",SUMPRODUCT((Matches!$B$3:$B$502=$B$3)*(Matches!$D$3:$D$502=B74)*(Matches!$O$3:$O$502="Completed")*IF(ISNUMBER(Matches!$L$3:$L$502),Matches!$L$3:$L$502,0))+SUMPRODUCT((Matches!$B$3:$B$502=$B$3)*(Matches!$E$3:$E$502=B74)*(Matches!$O$3:$O$502="Completed")*IF(ISNUMBER(Matches!$M$3:$M$502),Matches!$M$3:$M$502,0))),"—")</f>
        <v/>
      </c>
      <c r="I74" s="26">
        <f>IFERROR(IF(B74="","",SUMPRODUCT((Matches!$B$3:$B$502=$B$3)*(Matches!$D$3:$D$502=B74)*(Matches!$O$3:$O$502="Completed")*IF(ISNUMBER(Matches!$M$3:$M$502),Matches!$M$3:$M$502,0))+SUMPRODUCT((Matches!$B$3:$B$502=$B$3)*(Matches!$E$3:$E$502=B74)*(Matches!$O$3:$O$502="Completed")*IF(ISNUMBER(Matches!$L$3:$L$502),Matches!$L$3:$L$502,0))),"—")</f>
        <v/>
      </c>
      <c r="J74" s="28">
        <f>IFERROR(IF(B74="","",IF(ISNUMBER(H74),H74-I74,"—")),"—")</f>
        <v/>
      </c>
    </row>
    <row r="75">
      <c r="A75" s="21" t="n"/>
      <c r="B75" s="13">
        <f>IFERROR(INDEX(Teams!$B$3:$B$52,SMALL(IF(Teams!$A$3:$A$52="C",ROW(Teams!$A$3:$A$52)-ROW(Teams!$A$3)+1),19)),"")</f>
        <v/>
      </c>
      <c r="C75" s="22">
        <f>IFERROR(IF(B75="","",SUMPRODUCT((Matches!$B$3:$B$502=$B$3)*(Matches!$D$3:$D$502=B75)*(Matches!$O$3:$O$502="Completed"))+SUMPRODUCT((Matches!$B$3:$B$502=$B$3)*(Matches!$E$3:$E$502=B75)*(Matches!$O$3:$O$502="Completed"))),"—")</f>
        <v/>
      </c>
      <c r="D75" s="22">
        <f>IFERROR(IF(B75="","",SUMPRODUCT((Matches!$B$3:$B$502=$B$3)*(Matches!$D$3:$D$502=B75)*(Matches!$N$3:$N$502=B75)*(Matches!$O$3:$O$502="Completed"))+SUMPRODUCT((Matches!$B$3:$B$502=$B$3)*(Matches!$E$3:$E$502=B75)*(Matches!$N$3:$N$502=B75)*(Matches!$O$3:$O$502="Completed"))),"—")</f>
        <v/>
      </c>
      <c r="E75" s="22">
        <f>IFERROR(IF(B75="","",SUMPRODUCT((Matches!$B$3:$B$502=$B$3)*(Matches!$D$3:$D$502=B75)*(Matches!$N$3:$N$502="Draw")*(Matches!$O$3:$O$502="Completed"))+SUMPRODUCT((Matches!$B$3:$B$502=$B$3)*(Matches!$E$3:$E$502=B75)*(Matches!$N$3:$N$502="Draw")*(Matches!$O$3:$O$502="Completed"))),"—")</f>
        <v/>
      </c>
      <c r="F75" s="22">
        <f>IFERROR(IF(B75="","",IF(ISNUMBER(C75),C75-D75-E75,"—")),"—")</f>
        <v/>
      </c>
      <c r="G75" s="23">
        <f>IFERROR(IF(B75="","",IF(ISNUMBER(D75),D75*Setup!$B$8+E75*Setup!$B$9+F75*Setup!$B$10,"—")),"—")</f>
        <v/>
      </c>
      <c r="H75" s="22">
        <f>IFERROR(IF(B75="","",SUMPRODUCT((Matches!$B$3:$B$502=$B$3)*(Matches!$D$3:$D$502=B75)*(Matches!$O$3:$O$502="Completed")*IF(ISNUMBER(Matches!$L$3:$L$502),Matches!$L$3:$L$502,0))+SUMPRODUCT((Matches!$B$3:$B$502=$B$3)*(Matches!$E$3:$E$502=B75)*(Matches!$O$3:$O$502="Completed")*IF(ISNUMBER(Matches!$M$3:$M$502),Matches!$M$3:$M$502,0))),"—")</f>
        <v/>
      </c>
      <c r="I75" s="22">
        <f>IFERROR(IF(B75="","",SUMPRODUCT((Matches!$B$3:$B$502=$B$3)*(Matches!$D$3:$D$502=B75)*(Matches!$O$3:$O$502="Completed")*IF(ISNUMBER(Matches!$M$3:$M$502),Matches!$M$3:$M$502,0))+SUMPRODUCT((Matches!$B$3:$B$502=$B$3)*(Matches!$E$3:$E$502=B75)*(Matches!$O$3:$O$502="Completed")*IF(ISNUMBER(Matches!$L$3:$L$502),Matches!$L$3:$L$502,0))),"—")</f>
        <v/>
      </c>
      <c r="J75" s="24">
        <f>IFERROR(IF(B75="","",IF(ISNUMBER(H75),H75-I75,"—")),"—")</f>
        <v/>
      </c>
    </row>
    <row r="76">
      <c r="A76" s="25" t="n"/>
      <c r="B76" s="11">
        <f>IFERROR(INDEX(Teams!$B$3:$B$52,SMALL(IF(Teams!$A$3:$A$52="C",ROW(Teams!$A$3:$A$52)-ROW(Teams!$A$3)+1),20)),"")</f>
        <v/>
      </c>
      <c r="C76" s="26">
        <f>IFERROR(IF(B76="","",SUMPRODUCT((Matches!$B$3:$B$502=$B$3)*(Matches!$D$3:$D$502=B76)*(Matches!$O$3:$O$502="Completed"))+SUMPRODUCT((Matches!$B$3:$B$502=$B$3)*(Matches!$E$3:$E$502=B76)*(Matches!$O$3:$O$502="Completed"))),"—")</f>
        <v/>
      </c>
      <c r="D76" s="26">
        <f>IFERROR(IF(B76="","",SUMPRODUCT((Matches!$B$3:$B$502=$B$3)*(Matches!$D$3:$D$502=B76)*(Matches!$N$3:$N$502=B76)*(Matches!$O$3:$O$502="Completed"))+SUMPRODUCT((Matches!$B$3:$B$502=$B$3)*(Matches!$E$3:$E$502=B76)*(Matches!$N$3:$N$502=B76)*(Matches!$O$3:$O$502="Completed"))),"—")</f>
        <v/>
      </c>
      <c r="E76" s="26">
        <f>IFERROR(IF(B76="","",SUMPRODUCT((Matches!$B$3:$B$502=$B$3)*(Matches!$D$3:$D$502=B76)*(Matches!$N$3:$N$502="Draw")*(Matches!$O$3:$O$502="Completed"))+SUMPRODUCT((Matches!$B$3:$B$502=$B$3)*(Matches!$E$3:$E$502=B76)*(Matches!$N$3:$N$502="Draw")*(Matches!$O$3:$O$502="Completed"))),"—")</f>
        <v/>
      </c>
      <c r="F76" s="26">
        <f>IFERROR(IF(B76="","",IF(ISNUMBER(C76),C76-D76-E76,"—")),"—")</f>
        <v/>
      </c>
      <c r="G76" s="27">
        <f>IFERROR(IF(B76="","",IF(ISNUMBER(D76),D76*Setup!$B$8+E76*Setup!$B$9+F76*Setup!$B$10,"—")),"—")</f>
        <v/>
      </c>
      <c r="H76" s="26">
        <f>IFERROR(IF(B76="","",SUMPRODUCT((Matches!$B$3:$B$502=$B$3)*(Matches!$D$3:$D$502=B76)*(Matches!$O$3:$O$502="Completed")*IF(ISNUMBER(Matches!$L$3:$L$502),Matches!$L$3:$L$502,0))+SUMPRODUCT((Matches!$B$3:$B$502=$B$3)*(Matches!$E$3:$E$502=B76)*(Matches!$O$3:$O$502="Completed")*IF(ISNUMBER(Matches!$M$3:$M$502),Matches!$M$3:$M$502,0))),"—")</f>
        <v/>
      </c>
      <c r="I76" s="26">
        <f>IFERROR(IF(B76="","",SUMPRODUCT((Matches!$B$3:$B$502=$B$3)*(Matches!$D$3:$D$502=B76)*(Matches!$O$3:$O$502="Completed")*IF(ISNUMBER(Matches!$M$3:$M$502),Matches!$M$3:$M$502,0))+SUMPRODUCT((Matches!$B$3:$B$502=$B$3)*(Matches!$E$3:$E$502=B76)*(Matches!$O$3:$O$502="Completed")*IF(ISNUMBER(Matches!$L$3:$L$502),Matches!$L$3:$L$502,0))),"—")</f>
        <v/>
      </c>
      <c r="J76" s="28">
        <f>IFERROR(IF(B76="","",IF(ISNUMBER(H76),H76-I76,"—")),"—")</f>
        <v/>
      </c>
    </row>
    <row r="80">
      <c r="A80" s="20" t="inlineStr">
        <is>
          <t>DIVISION D</t>
        </is>
      </c>
    </row>
    <row r="81">
      <c r="A81" s="9" t="inlineStr">
        <is>
          <t>Pos</t>
        </is>
      </c>
      <c r="B81" s="9" t="inlineStr">
        <is>
          <t>Team</t>
        </is>
      </c>
      <c r="C81" s="9" t="inlineStr">
        <is>
          <t>Played</t>
        </is>
      </c>
      <c r="D81" s="9" t="inlineStr">
        <is>
          <t>Won</t>
        </is>
      </c>
      <c r="E81" s="9" t="inlineStr">
        <is>
          <t>Drawn</t>
        </is>
      </c>
      <c r="F81" s="9" t="inlineStr">
        <is>
          <t>Lost</t>
        </is>
      </c>
      <c r="G81" s="9" t="inlineStr">
        <is>
          <t>Points</t>
        </is>
      </c>
      <c r="H81" s="9" t="inlineStr">
        <is>
          <t>GF</t>
        </is>
      </c>
      <c r="I81" s="9" t="inlineStr">
        <is>
          <t>GA</t>
        </is>
      </c>
      <c r="J81" s="9" t="inlineStr">
        <is>
          <t>Diff</t>
        </is>
      </c>
    </row>
    <row r="82">
      <c r="A82" s="21" t="n"/>
      <c r="B82" s="13">
        <f>IFERROR(INDEX(Teams!$B$3:$B$52,SMALL(IF(Teams!$A$3:$A$52="D",ROW(Teams!$A$3:$A$52)-ROW(Teams!$A$3)+1),1)),"")</f>
        <v/>
      </c>
      <c r="C82" s="22">
        <f>IFERROR(IF(B82="","",SUMPRODUCT((Matches!$B$3:$B$502=$B$3)*(Matches!$D$3:$D$502=B82)*(Matches!$O$3:$O$502="Completed"))+SUMPRODUCT((Matches!$B$3:$B$502=$B$3)*(Matches!$E$3:$E$502=B82)*(Matches!$O$3:$O$502="Completed"))),"—")</f>
        <v/>
      </c>
      <c r="D82" s="22">
        <f>IFERROR(IF(B82="","",SUMPRODUCT((Matches!$B$3:$B$502=$B$3)*(Matches!$D$3:$D$502=B82)*(Matches!$N$3:$N$502=B82)*(Matches!$O$3:$O$502="Completed"))+SUMPRODUCT((Matches!$B$3:$B$502=$B$3)*(Matches!$E$3:$E$502=B82)*(Matches!$N$3:$N$502=B82)*(Matches!$O$3:$O$502="Completed"))),"—")</f>
        <v/>
      </c>
      <c r="E82" s="22">
        <f>IFERROR(IF(B82="","",SUMPRODUCT((Matches!$B$3:$B$502=$B$3)*(Matches!$D$3:$D$502=B82)*(Matches!$N$3:$N$502="Draw")*(Matches!$O$3:$O$502="Completed"))+SUMPRODUCT((Matches!$B$3:$B$502=$B$3)*(Matches!$E$3:$E$502=B82)*(Matches!$N$3:$N$502="Draw")*(Matches!$O$3:$O$502="Completed"))),"—")</f>
        <v/>
      </c>
      <c r="F82" s="22">
        <f>IFERROR(IF(B82="","",IF(ISNUMBER(C82),C82-D82-E82,"—")),"—")</f>
        <v/>
      </c>
      <c r="G82" s="23">
        <f>IFERROR(IF(B82="","",IF(ISNUMBER(D82),D82*Setup!$B$8+E82*Setup!$B$9+F82*Setup!$B$10,"—")),"—")</f>
        <v/>
      </c>
      <c r="H82" s="22">
        <f>IFERROR(IF(B82="","",SUMPRODUCT((Matches!$B$3:$B$502=$B$3)*(Matches!$D$3:$D$502=B82)*(Matches!$O$3:$O$502="Completed")*IF(ISNUMBER(Matches!$L$3:$L$502),Matches!$L$3:$L$502,0))+SUMPRODUCT((Matches!$B$3:$B$502=$B$3)*(Matches!$E$3:$E$502=B82)*(Matches!$O$3:$O$502="Completed")*IF(ISNUMBER(Matches!$M$3:$M$502),Matches!$M$3:$M$502,0))),"—")</f>
        <v/>
      </c>
      <c r="I82" s="22">
        <f>IFERROR(IF(B82="","",SUMPRODUCT((Matches!$B$3:$B$502=$B$3)*(Matches!$D$3:$D$502=B82)*(Matches!$O$3:$O$502="Completed")*IF(ISNUMBER(Matches!$M$3:$M$502),Matches!$M$3:$M$502,0))+SUMPRODUCT((Matches!$B$3:$B$502=$B$3)*(Matches!$E$3:$E$502=B82)*(Matches!$O$3:$O$502="Completed")*IF(ISNUMBER(Matches!$L$3:$L$502),Matches!$L$3:$L$502,0))),"—")</f>
        <v/>
      </c>
      <c r="J82" s="24">
        <f>IFERROR(IF(B82="","",IF(ISNUMBER(H82),H82-I82,"—")),"—")</f>
        <v/>
      </c>
    </row>
    <row r="83">
      <c r="A83" s="25" t="n"/>
      <c r="B83" s="11">
        <f>IFERROR(INDEX(Teams!$B$3:$B$52,SMALL(IF(Teams!$A$3:$A$52="D",ROW(Teams!$A$3:$A$52)-ROW(Teams!$A$3)+1),2)),"")</f>
        <v/>
      </c>
      <c r="C83" s="26">
        <f>IFERROR(IF(B83="","",SUMPRODUCT((Matches!$B$3:$B$502=$B$3)*(Matches!$D$3:$D$502=B83)*(Matches!$O$3:$O$502="Completed"))+SUMPRODUCT((Matches!$B$3:$B$502=$B$3)*(Matches!$E$3:$E$502=B83)*(Matches!$O$3:$O$502="Completed"))),"—")</f>
        <v/>
      </c>
      <c r="D83" s="26">
        <f>IFERROR(IF(B83="","",SUMPRODUCT((Matches!$B$3:$B$502=$B$3)*(Matches!$D$3:$D$502=B83)*(Matches!$N$3:$N$502=B83)*(Matches!$O$3:$O$502="Completed"))+SUMPRODUCT((Matches!$B$3:$B$502=$B$3)*(Matches!$E$3:$E$502=B83)*(Matches!$N$3:$N$502=B83)*(Matches!$O$3:$O$502="Completed"))),"—")</f>
        <v/>
      </c>
      <c r="E83" s="26">
        <f>IFERROR(IF(B83="","",SUMPRODUCT((Matches!$B$3:$B$502=$B$3)*(Matches!$D$3:$D$502=B83)*(Matches!$N$3:$N$502="Draw")*(Matches!$O$3:$O$502="Completed"))+SUMPRODUCT((Matches!$B$3:$B$502=$B$3)*(Matches!$E$3:$E$502=B83)*(Matches!$N$3:$N$502="Draw")*(Matches!$O$3:$O$502="Completed"))),"—")</f>
        <v/>
      </c>
      <c r="F83" s="26">
        <f>IFERROR(IF(B83="","",IF(ISNUMBER(C83),C83-D83-E83,"—")),"—")</f>
        <v/>
      </c>
      <c r="G83" s="27">
        <f>IFERROR(IF(B83="","",IF(ISNUMBER(D83),D83*Setup!$B$8+E83*Setup!$B$9+F83*Setup!$B$10,"—")),"—")</f>
        <v/>
      </c>
      <c r="H83" s="26">
        <f>IFERROR(IF(B83="","",SUMPRODUCT((Matches!$B$3:$B$502=$B$3)*(Matches!$D$3:$D$502=B83)*(Matches!$O$3:$O$502="Completed")*IF(ISNUMBER(Matches!$L$3:$L$502),Matches!$L$3:$L$502,0))+SUMPRODUCT((Matches!$B$3:$B$502=$B$3)*(Matches!$E$3:$E$502=B83)*(Matches!$O$3:$O$502="Completed")*IF(ISNUMBER(Matches!$M$3:$M$502),Matches!$M$3:$M$502,0))),"—")</f>
        <v/>
      </c>
      <c r="I83" s="26">
        <f>IFERROR(IF(B83="","",SUMPRODUCT((Matches!$B$3:$B$502=$B$3)*(Matches!$D$3:$D$502=B83)*(Matches!$O$3:$O$502="Completed")*IF(ISNUMBER(Matches!$M$3:$M$502),Matches!$M$3:$M$502,0))+SUMPRODUCT((Matches!$B$3:$B$502=$B$3)*(Matches!$E$3:$E$502=B83)*(Matches!$O$3:$O$502="Completed")*IF(ISNUMBER(Matches!$L$3:$L$502),Matches!$L$3:$L$502,0))),"—")</f>
        <v/>
      </c>
      <c r="J83" s="28">
        <f>IFERROR(IF(B83="","",IF(ISNUMBER(H83),H83-I83,"—")),"—")</f>
        <v/>
      </c>
    </row>
    <row r="84">
      <c r="A84" s="21" t="n"/>
      <c r="B84" s="13">
        <f>IFERROR(INDEX(Teams!$B$3:$B$52,SMALL(IF(Teams!$A$3:$A$52="D",ROW(Teams!$A$3:$A$52)-ROW(Teams!$A$3)+1),3)),"")</f>
        <v/>
      </c>
      <c r="C84" s="22">
        <f>IFERROR(IF(B84="","",SUMPRODUCT((Matches!$B$3:$B$502=$B$3)*(Matches!$D$3:$D$502=B84)*(Matches!$O$3:$O$502="Completed"))+SUMPRODUCT((Matches!$B$3:$B$502=$B$3)*(Matches!$E$3:$E$502=B84)*(Matches!$O$3:$O$502="Completed"))),"—")</f>
        <v/>
      </c>
      <c r="D84" s="22">
        <f>IFERROR(IF(B84="","",SUMPRODUCT((Matches!$B$3:$B$502=$B$3)*(Matches!$D$3:$D$502=B84)*(Matches!$N$3:$N$502=B84)*(Matches!$O$3:$O$502="Completed"))+SUMPRODUCT((Matches!$B$3:$B$502=$B$3)*(Matches!$E$3:$E$502=B84)*(Matches!$N$3:$N$502=B84)*(Matches!$O$3:$O$502="Completed"))),"—")</f>
        <v/>
      </c>
      <c r="E84" s="22">
        <f>IFERROR(IF(B84="","",SUMPRODUCT((Matches!$B$3:$B$502=$B$3)*(Matches!$D$3:$D$502=B84)*(Matches!$N$3:$N$502="Draw")*(Matches!$O$3:$O$502="Completed"))+SUMPRODUCT((Matches!$B$3:$B$502=$B$3)*(Matches!$E$3:$E$502=B84)*(Matches!$N$3:$N$502="Draw")*(Matches!$O$3:$O$502="Completed"))),"—")</f>
        <v/>
      </c>
      <c r="F84" s="22">
        <f>IFERROR(IF(B84="","",IF(ISNUMBER(C84),C84-D84-E84,"—")),"—")</f>
        <v/>
      </c>
      <c r="G84" s="23">
        <f>IFERROR(IF(B84="","",IF(ISNUMBER(D84),D84*Setup!$B$8+E84*Setup!$B$9+F84*Setup!$B$10,"—")),"—")</f>
        <v/>
      </c>
      <c r="H84" s="22">
        <f>IFERROR(IF(B84="","",SUMPRODUCT((Matches!$B$3:$B$502=$B$3)*(Matches!$D$3:$D$502=B84)*(Matches!$O$3:$O$502="Completed")*IF(ISNUMBER(Matches!$L$3:$L$502),Matches!$L$3:$L$502,0))+SUMPRODUCT((Matches!$B$3:$B$502=$B$3)*(Matches!$E$3:$E$502=B84)*(Matches!$O$3:$O$502="Completed")*IF(ISNUMBER(Matches!$M$3:$M$502),Matches!$M$3:$M$502,0))),"—")</f>
        <v/>
      </c>
      <c r="I84" s="22">
        <f>IFERROR(IF(B84="","",SUMPRODUCT((Matches!$B$3:$B$502=$B$3)*(Matches!$D$3:$D$502=B84)*(Matches!$O$3:$O$502="Completed")*IF(ISNUMBER(Matches!$M$3:$M$502),Matches!$M$3:$M$502,0))+SUMPRODUCT((Matches!$B$3:$B$502=$B$3)*(Matches!$E$3:$E$502=B84)*(Matches!$O$3:$O$502="Completed")*IF(ISNUMBER(Matches!$L$3:$L$502),Matches!$L$3:$L$502,0))),"—")</f>
        <v/>
      </c>
      <c r="J84" s="24">
        <f>IFERROR(IF(B84="","",IF(ISNUMBER(H84),H84-I84,"—")),"—")</f>
        <v/>
      </c>
    </row>
    <row r="85">
      <c r="A85" s="25" t="n"/>
      <c r="B85" s="11">
        <f>IFERROR(INDEX(Teams!$B$3:$B$52,SMALL(IF(Teams!$A$3:$A$52="D",ROW(Teams!$A$3:$A$52)-ROW(Teams!$A$3)+1),4)),"")</f>
        <v/>
      </c>
      <c r="C85" s="26">
        <f>IFERROR(IF(B85="","",SUMPRODUCT((Matches!$B$3:$B$502=$B$3)*(Matches!$D$3:$D$502=B85)*(Matches!$O$3:$O$502="Completed"))+SUMPRODUCT((Matches!$B$3:$B$502=$B$3)*(Matches!$E$3:$E$502=B85)*(Matches!$O$3:$O$502="Completed"))),"—")</f>
        <v/>
      </c>
      <c r="D85" s="26">
        <f>IFERROR(IF(B85="","",SUMPRODUCT((Matches!$B$3:$B$502=$B$3)*(Matches!$D$3:$D$502=B85)*(Matches!$N$3:$N$502=B85)*(Matches!$O$3:$O$502="Completed"))+SUMPRODUCT((Matches!$B$3:$B$502=$B$3)*(Matches!$E$3:$E$502=B85)*(Matches!$N$3:$N$502=B85)*(Matches!$O$3:$O$502="Completed"))),"—")</f>
        <v/>
      </c>
      <c r="E85" s="26">
        <f>IFERROR(IF(B85="","",SUMPRODUCT((Matches!$B$3:$B$502=$B$3)*(Matches!$D$3:$D$502=B85)*(Matches!$N$3:$N$502="Draw")*(Matches!$O$3:$O$502="Completed"))+SUMPRODUCT((Matches!$B$3:$B$502=$B$3)*(Matches!$E$3:$E$502=B85)*(Matches!$N$3:$N$502="Draw")*(Matches!$O$3:$O$502="Completed"))),"—")</f>
        <v/>
      </c>
      <c r="F85" s="26">
        <f>IFERROR(IF(B85="","",IF(ISNUMBER(C85),C85-D85-E85,"—")),"—")</f>
        <v/>
      </c>
      <c r="G85" s="27">
        <f>IFERROR(IF(B85="","",IF(ISNUMBER(D85),D85*Setup!$B$8+E85*Setup!$B$9+F85*Setup!$B$10,"—")),"—")</f>
        <v/>
      </c>
      <c r="H85" s="26">
        <f>IFERROR(IF(B85="","",SUMPRODUCT((Matches!$B$3:$B$502=$B$3)*(Matches!$D$3:$D$502=B85)*(Matches!$O$3:$O$502="Completed")*IF(ISNUMBER(Matches!$L$3:$L$502),Matches!$L$3:$L$502,0))+SUMPRODUCT((Matches!$B$3:$B$502=$B$3)*(Matches!$E$3:$E$502=B85)*(Matches!$O$3:$O$502="Completed")*IF(ISNUMBER(Matches!$M$3:$M$502),Matches!$M$3:$M$502,0))),"—")</f>
        <v/>
      </c>
      <c r="I85" s="26">
        <f>IFERROR(IF(B85="","",SUMPRODUCT((Matches!$B$3:$B$502=$B$3)*(Matches!$D$3:$D$502=B85)*(Matches!$O$3:$O$502="Completed")*IF(ISNUMBER(Matches!$M$3:$M$502),Matches!$M$3:$M$502,0))+SUMPRODUCT((Matches!$B$3:$B$502=$B$3)*(Matches!$E$3:$E$502=B85)*(Matches!$O$3:$O$502="Completed")*IF(ISNUMBER(Matches!$L$3:$L$502),Matches!$L$3:$L$502,0))),"—")</f>
        <v/>
      </c>
      <c r="J85" s="28">
        <f>IFERROR(IF(B85="","",IF(ISNUMBER(H85),H85-I85,"—")),"—")</f>
        <v/>
      </c>
    </row>
    <row r="86">
      <c r="A86" s="21" t="n"/>
      <c r="B86" s="13">
        <f>IFERROR(INDEX(Teams!$B$3:$B$52,SMALL(IF(Teams!$A$3:$A$52="D",ROW(Teams!$A$3:$A$52)-ROW(Teams!$A$3)+1),5)),"")</f>
        <v/>
      </c>
      <c r="C86" s="22">
        <f>IFERROR(IF(B86="","",SUMPRODUCT((Matches!$B$3:$B$502=$B$3)*(Matches!$D$3:$D$502=B86)*(Matches!$O$3:$O$502="Completed"))+SUMPRODUCT((Matches!$B$3:$B$502=$B$3)*(Matches!$E$3:$E$502=B86)*(Matches!$O$3:$O$502="Completed"))),"—")</f>
        <v/>
      </c>
      <c r="D86" s="22">
        <f>IFERROR(IF(B86="","",SUMPRODUCT((Matches!$B$3:$B$502=$B$3)*(Matches!$D$3:$D$502=B86)*(Matches!$N$3:$N$502=B86)*(Matches!$O$3:$O$502="Completed"))+SUMPRODUCT((Matches!$B$3:$B$502=$B$3)*(Matches!$E$3:$E$502=B86)*(Matches!$N$3:$N$502=B86)*(Matches!$O$3:$O$502="Completed"))),"—")</f>
        <v/>
      </c>
      <c r="E86" s="22">
        <f>IFERROR(IF(B86="","",SUMPRODUCT((Matches!$B$3:$B$502=$B$3)*(Matches!$D$3:$D$502=B86)*(Matches!$N$3:$N$502="Draw")*(Matches!$O$3:$O$502="Completed"))+SUMPRODUCT((Matches!$B$3:$B$502=$B$3)*(Matches!$E$3:$E$502=B86)*(Matches!$N$3:$N$502="Draw")*(Matches!$O$3:$O$502="Completed"))),"—")</f>
        <v/>
      </c>
      <c r="F86" s="22">
        <f>IFERROR(IF(B86="","",IF(ISNUMBER(C86),C86-D86-E86,"—")),"—")</f>
        <v/>
      </c>
      <c r="G86" s="23">
        <f>IFERROR(IF(B86="","",IF(ISNUMBER(D86),D86*Setup!$B$8+E86*Setup!$B$9+F86*Setup!$B$10,"—")),"—")</f>
        <v/>
      </c>
      <c r="H86" s="22">
        <f>IFERROR(IF(B86="","",SUMPRODUCT((Matches!$B$3:$B$502=$B$3)*(Matches!$D$3:$D$502=B86)*(Matches!$O$3:$O$502="Completed")*IF(ISNUMBER(Matches!$L$3:$L$502),Matches!$L$3:$L$502,0))+SUMPRODUCT((Matches!$B$3:$B$502=$B$3)*(Matches!$E$3:$E$502=B86)*(Matches!$O$3:$O$502="Completed")*IF(ISNUMBER(Matches!$M$3:$M$502),Matches!$M$3:$M$502,0))),"—")</f>
        <v/>
      </c>
      <c r="I86" s="22">
        <f>IFERROR(IF(B86="","",SUMPRODUCT((Matches!$B$3:$B$502=$B$3)*(Matches!$D$3:$D$502=B86)*(Matches!$O$3:$O$502="Completed")*IF(ISNUMBER(Matches!$M$3:$M$502),Matches!$M$3:$M$502,0))+SUMPRODUCT((Matches!$B$3:$B$502=$B$3)*(Matches!$E$3:$E$502=B86)*(Matches!$O$3:$O$502="Completed")*IF(ISNUMBER(Matches!$L$3:$L$502),Matches!$L$3:$L$502,0))),"—")</f>
        <v/>
      </c>
      <c r="J86" s="24">
        <f>IFERROR(IF(B86="","",IF(ISNUMBER(H86),H86-I86,"—")),"—")</f>
        <v/>
      </c>
    </row>
    <row r="87">
      <c r="A87" s="25" t="n"/>
      <c r="B87" s="11">
        <f>IFERROR(INDEX(Teams!$B$3:$B$52,SMALL(IF(Teams!$A$3:$A$52="D",ROW(Teams!$A$3:$A$52)-ROW(Teams!$A$3)+1),6)),"")</f>
        <v/>
      </c>
      <c r="C87" s="26">
        <f>IFERROR(IF(B87="","",SUMPRODUCT((Matches!$B$3:$B$502=$B$3)*(Matches!$D$3:$D$502=B87)*(Matches!$O$3:$O$502="Completed"))+SUMPRODUCT((Matches!$B$3:$B$502=$B$3)*(Matches!$E$3:$E$502=B87)*(Matches!$O$3:$O$502="Completed"))),"—")</f>
        <v/>
      </c>
      <c r="D87" s="26">
        <f>IFERROR(IF(B87="","",SUMPRODUCT((Matches!$B$3:$B$502=$B$3)*(Matches!$D$3:$D$502=B87)*(Matches!$N$3:$N$502=B87)*(Matches!$O$3:$O$502="Completed"))+SUMPRODUCT((Matches!$B$3:$B$502=$B$3)*(Matches!$E$3:$E$502=B87)*(Matches!$N$3:$N$502=B87)*(Matches!$O$3:$O$502="Completed"))),"—")</f>
        <v/>
      </c>
      <c r="E87" s="26">
        <f>IFERROR(IF(B87="","",SUMPRODUCT((Matches!$B$3:$B$502=$B$3)*(Matches!$D$3:$D$502=B87)*(Matches!$N$3:$N$502="Draw")*(Matches!$O$3:$O$502="Completed"))+SUMPRODUCT((Matches!$B$3:$B$502=$B$3)*(Matches!$E$3:$E$502=B87)*(Matches!$N$3:$N$502="Draw")*(Matches!$O$3:$O$502="Completed"))),"—")</f>
        <v/>
      </c>
      <c r="F87" s="26">
        <f>IFERROR(IF(B87="","",IF(ISNUMBER(C87),C87-D87-E87,"—")),"—")</f>
        <v/>
      </c>
      <c r="G87" s="27">
        <f>IFERROR(IF(B87="","",IF(ISNUMBER(D87),D87*Setup!$B$8+E87*Setup!$B$9+F87*Setup!$B$10,"—")),"—")</f>
        <v/>
      </c>
      <c r="H87" s="26">
        <f>IFERROR(IF(B87="","",SUMPRODUCT((Matches!$B$3:$B$502=$B$3)*(Matches!$D$3:$D$502=B87)*(Matches!$O$3:$O$502="Completed")*IF(ISNUMBER(Matches!$L$3:$L$502),Matches!$L$3:$L$502,0))+SUMPRODUCT((Matches!$B$3:$B$502=$B$3)*(Matches!$E$3:$E$502=B87)*(Matches!$O$3:$O$502="Completed")*IF(ISNUMBER(Matches!$M$3:$M$502),Matches!$M$3:$M$502,0))),"—")</f>
        <v/>
      </c>
      <c r="I87" s="26">
        <f>IFERROR(IF(B87="","",SUMPRODUCT((Matches!$B$3:$B$502=$B$3)*(Matches!$D$3:$D$502=B87)*(Matches!$O$3:$O$502="Completed")*IF(ISNUMBER(Matches!$M$3:$M$502),Matches!$M$3:$M$502,0))+SUMPRODUCT((Matches!$B$3:$B$502=$B$3)*(Matches!$E$3:$E$502=B87)*(Matches!$O$3:$O$502="Completed")*IF(ISNUMBER(Matches!$L$3:$L$502),Matches!$L$3:$L$502,0))),"—")</f>
        <v/>
      </c>
      <c r="J87" s="28">
        <f>IFERROR(IF(B87="","",IF(ISNUMBER(H87),H87-I87,"—")),"—")</f>
        <v/>
      </c>
    </row>
    <row r="88">
      <c r="A88" s="21" t="n"/>
      <c r="B88" s="13">
        <f>IFERROR(INDEX(Teams!$B$3:$B$52,SMALL(IF(Teams!$A$3:$A$52="D",ROW(Teams!$A$3:$A$52)-ROW(Teams!$A$3)+1),7)),"")</f>
        <v/>
      </c>
      <c r="C88" s="22">
        <f>IFERROR(IF(B88="","",SUMPRODUCT((Matches!$B$3:$B$502=$B$3)*(Matches!$D$3:$D$502=B88)*(Matches!$O$3:$O$502="Completed"))+SUMPRODUCT((Matches!$B$3:$B$502=$B$3)*(Matches!$E$3:$E$502=B88)*(Matches!$O$3:$O$502="Completed"))),"—")</f>
        <v/>
      </c>
      <c r="D88" s="22">
        <f>IFERROR(IF(B88="","",SUMPRODUCT((Matches!$B$3:$B$502=$B$3)*(Matches!$D$3:$D$502=B88)*(Matches!$N$3:$N$502=B88)*(Matches!$O$3:$O$502="Completed"))+SUMPRODUCT((Matches!$B$3:$B$502=$B$3)*(Matches!$E$3:$E$502=B88)*(Matches!$N$3:$N$502=B88)*(Matches!$O$3:$O$502="Completed"))),"—")</f>
        <v/>
      </c>
      <c r="E88" s="22">
        <f>IFERROR(IF(B88="","",SUMPRODUCT((Matches!$B$3:$B$502=$B$3)*(Matches!$D$3:$D$502=B88)*(Matches!$N$3:$N$502="Draw")*(Matches!$O$3:$O$502="Completed"))+SUMPRODUCT((Matches!$B$3:$B$502=$B$3)*(Matches!$E$3:$E$502=B88)*(Matches!$N$3:$N$502="Draw")*(Matches!$O$3:$O$502="Completed"))),"—")</f>
        <v/>
      </c>
      <c r="F88" s="22">
        <f>IFERROR(IF(B88="","",IF(ISNUMBER(C88),C88-D88-E88,"—")),"—")</f>
        <v/>
      </c>
      <c r="G88" s="23">
        <f>IFERROR(IF(B88="","",IF(ISNUMBER(D88),D88*Setup!$B$8+E88*Setup!$B$9+F88*Setup!$B$10,"—")),"—")</f>
        <v/>
      </c>
      <c r="H88" s="22">
        <f>IFERROR(IF(B88="","",SUMPRODUCT((Matches!$B$3:$B$502=$B$3)*(Matches!$D$3:$D$502=B88)*(Matches!$O$3:$O$502="Completed")*IF(ISNUMBER(Matches!$L$3:$L$502),Matches!$L$3:$L$502,0))+SUMPRODUCT((Matches!$B$3:$B$502=$B$3)*(Matches!$E$3:$E$502=B88)*(Matches!$O$3:$O$502="Completed")*IF(ISNUMBER(Matches!$M$3:$M$502),Matches!$M$3:$M$502,0))),"—")</f>
        <v/>
      </c>
      <c r="I88" s="22">
        <f>IFERROR(IF(B88="","",SUMPRODUCT((Matches!$B$3:$B$502=$B$3)*(Matches!$D$3:$D$502=B88)*(Matches!$O$3:$O$502="Completed")*IF(ISNUMBER(Matches!$M$3:$M$502),Matches!$M$3:$M$502,0))+SUMPRODUCT((Matches!$B$3:$B$502=$B$3)*(Matches!$E$3:$E$502=B88)*(Matches!$O$3:$O$502="Completed")*IF(ISNUMBER(Matches!$L$3:$L$502),Matches!$L$3:$L$502,0))),"—")</f>
        <v/>
      </c>
      <c r="J88" s="24">
        <f>IFERROR(IF(B88="","",IF(ISNUMBER(H88),H88-I88,"—")),"—")</f>
        <v/>
      </c>
    </row>
    <row r="89">
      <c r="A89" s="25" t="n"/>
      <c r="B89" s="11">
        <f>IFERROR(INDEX(Teams!$B$3:$B$52,SMALL(IF(Teams!$A$3:$A$52="D",ROW(Teams!$A$3:$A$52)-ROW(Teams!$A$3)+1),8)),"")</f>
        <v/>
      </c>
      <c r="C89" s="26">
        <f>IFERROR(IF(B89="","",SUMPRODUCT((Matches!$B$3:$B$502=$B$3)*(Matches!$D$3:$D$502=B89)*(Matches!$O$3:$O$502="Completed"))+SUMPRODUCT((Matches!$B$3:$B$502=$B$3)*(Matches!$E$3:$E$502=B89)*(Matches!$O$3:$O$502="Completed"))),"—")</f>
        <v/>
      </c>
      <c r="D89" s="26">
        <f>IFERROR(IF(B89="","",SUMPRODUCT((Matches!$B$3:$B$502=$B$3)*(Matches!$D$3:$D$502=B89)*(Matches!$N$3:$N$502=B89)*(Matches!$O$3:$O$502="Completed"))+SUMPRODUCT((Matches!$B$3:$B$502=$B$3)*(Matches!$E$3:$E$502=B89)*(Matches!$N$3:$N$502=B89)*(Matches!$O$3:$O$502="Completed"))),"—")</f>
        <v/>
      </c>
      <c r="E89" s="26">
        <f>IFERROR(IF(B89="","",SUMPRODUCT((Matches!$B$3:$B$502=$B$3)*(Matches!$D$3:$D$502=B89)*(Matches!$N$3:$N$502="Draw")*(Matches!$O$3:$O$502="Completed"))+SUMPRODUCT((Matches!$B$3:$B$502=$B$3)*(Matches!$E$3:$E$502=B89)*(Matches!$N$3:$N$502="Draw")*(Matches!$O$3:$O$502="Completed"))),"—")</f>
        <v/>
      </c>
      <c r="F89" s="26">
        <f>IFERROR(IF(B89="","",IF(ISNUMBER(C89),C89-D89-E89,"—")),"—")</f>
        <v/>
      </c>
      <c r="G89" s="27">
        <f>IFERROR(IF(B89="","",IF(ISNUMBER(D89),D89*Setup!$B$8+E89*Setup!$B$9+F89*Setup!$B$10,"—")),"—")</f>
        <v/>
      </c>
      <c r="H89" s="26">
        <f>IFERROR(IF(B89="","",SUMPRODUCT((Matches!$B$3:$B$502=$B$3)*(Matches!$D$3:$D$502=B89)*(Matches!$O$3:$O$502="Completed")*IF(ISNUMBER(Matches!$L$3:$L$502),Matches!$L$3:$L$502,0))+SUMPRODUCT((Matches!$B$3:$B$502=$B$3)*(Matches!$E$3:$E$502=B89)*(Matches!$O$3:$O$502="Completed")*IF(ISNUMBER(Matches!$M$3:$M$502),Matches!$M$3:$M$502,0))),"—")</f>
        <v/>
      </c>
      <c r="I89" s="26">
        <f>IFERROR(IF(B89="","",SUMPRODUCT((Matches!$B$3:$B$502=$B$3)*(Matches!$D$3:$D$502=B89)*(Matches!$O$3:$O$502="Completed")*IF(ISNUMBER(Matches!$M$3:$M$502),Matches!$M$3:$M$502,0))+SUMPRODUCT((Matches!$B$3:$B$502=$B$3)*(Matches!$E$3:$E$502=B89)*(Matches!$O$3:$O$502="Completed")*IF(ISNUMBER(Matches!$L$3:$L$502),Matches!$L$3:$L$502,0))),"—")</f>
        <v/>
      </c>
      <c r="J89" s="28">
        <f>IFERROR(IF(B89="","",IF(ISNUMBER(H89),H89-I89,"—")),"—")</f>
        <v/>
      </c>
    </row>
    <row r="90">
      <c r="A90" s="21" t="n"/>
      <c r="B90" s="13">
        <f>IFERROR(INDEX(Teams!$B$3:$B$52,SMALL(IF(Teams!$A$3:$A$52="D",ROW(Teams!$A$3:$A$52)-ROW(Teams!$A$3)+1),9)),"")</f>
        <v/>
      </c>
      <c r="C90" s="22">
        <f>IFERROR(IF(B90="","",SUMPRODUCT((Matches!$B$3:$B$502=$B$3)*(Matches!$D$3:$D$502=B90)*(Matches!$O$3:$O$502="Completed"))+SUMPRODUCT((Matches!$B$3:$B$502=$B$3)*(Matches!$E$3:$E$502=B90)*(Matches!$O$3:$O$502="Completed"))),"—")</f>
        <v/>
      </c>
      <c r="D90" s="22">
        <f>IFERROR(IF(B90="","",SUMPRODUCT((Matches!$B$3:$B$502=$B$3)*(Matches!$D$3:$D$502=B90)*(Matches!$N$3:$N$502=B90)*(Matches!$O$3:$O$502="Completed"))+SUMPRODUCT((Matches!$B$3:$B$502=$B$3)*(Matches!$E$3:$E$502=B90)*(Matches!$N$3:$N$502=B90)*(Matches!$O$3:$O$502="Completed"))),"—")</f>
        <v/>
      </c>
      <c r="E90" s="22">
        <f>IFERROR(IF(B90="","",SUMPRODUCT((Matches!$B$3:$B$502=$B$3)*(Matches!$D$3:$D$502=B90)*(Matches!$N$3:$N$502="Draw")*(Matches!$O$3:$O$502="Completed"))+SUMPRODUCT((Matches!$B$3:$B$502=$B$3)*(Matches!$E$3:$E$502=B90)*(Matches!$N$3:$N$502="Draw")*(Matches!$O$3:$O$502="Completed"))),"—")</f>
        <v/>
      </c>
      <c r="F90" s="22">
        <f>IFERROR(IF(B90="","",IF(ISNUMBER(C90),C90-D90-E90,"—")),"—")</f>
        <v/>
      </c>
      <c r="G90" s="23">
        <f>IFERROR(IF(B90="","",IF(ISNUMBER(D90),D90*Setup!$B$8+E90*Setup!$B$9+F90*Setup!$B$10,"—")),"—")</f>
        <v/>
      </c>
      <c r="H90" s="22">
        <f>IFERROR(IF(B90="","",SUMPRODUCT((Matches!$B$3:$B$502=$B$3)*(Matches!$D$3:$D$502=B90)*(Matches!$O$3:$O$502="Completed")*IF(ISNUMBER(Matches!$L$3:$L$502),Matches!$L$3:$L$502,0))+SUMPRODUCT((Matches!$B$3:$B$502=$B$3)*(Matches!$E$3:$E$502=B90)*(Matches!$O$3:$O$502="Completed")*IF(ISNUMBER(Matches!$M$3:$M$502),Matches!$M$3:$M$502,0))),"—")</f>
        <v/>
      </c>
      <c r="I90" s="22">
        <f>IFERROR(IF(B90="","",SUMPRODUCT((Matches!$B$3:$B$502=$B$3)*(Matches!$D$3:$D$502=B90)*(Matches!$O$3:$O$502="Completed")*IF(ISNUMBER(Matches!$M$3:$M$502),Matches!$M$3:$M$502,0))+SUMPRODUCT((Matches!$B$3:$B$502=$B$3)*(Matches!$E$3:$E$502=B90)*(Matches!$O$3:$O$502="Completed")*IF(ISNUMBER(Matches!$L$3:$L$502),Matches!$L$3:$L$502,0))),"—")</f>
        <v/>
      </c>
      <c r="J90" s="24">
        <f>IFERROR(IF(B90="","",IF(ISNUMBER(H90),H90-I90,"—")),"—")</f>
        <v/>
      </c>
    </row>
    <row r="91">
      <c r="A91" s="25" t="n"/>
      <c r="B91" s="11">
        <f>IFERROR(INDEX(Teams!$B$3:$B$52,SMALL(IF(Teams!$A$3:$A$52="D",ROW(Teams!$A$3:$A$52)-ROW(Teams!$A$3)+1),10)),"")</f>
        <v/>
      </c>
      <c r="C91" s="26">
        <f>IFERROR(IF(B91="","",SUMPRODUCT((Matches!$B$3:$B$502=$B$3)*(Matches!$D$3:$D$502=B91)*(Matches!$O$3:$O$502="Completed"))+SUMPRODUCT((Matches!$B$3:$B$502=$B$3)*(Matches!$E$3:$E$502=B91)*(Matches!$O$3:$O$502="Completed"))),"—")</f>
        <v/>
      </c>
      <c r="D91" s="26">
        <f>IFERROR(IF(B91="","",SUMPRODUCT((Matches!$B$3:$B$502=$B$3)*(Matches!$D$3:$D$502=B91)*(Matches!$N$3:$N$502=B91)*(Matches!$O$3:$O$502="Completed"))+SUMPRODUCT((Matches!$B$3:$B$502=$B$3)*(Matches!$E$3:$E$502=B91)*(Matches!$N$3:$N$502=B91)*(Matches!$O$3:$O$502="Completed"))),"—")</f>
        <v/>
      </c>
      <c r="E91" s="26">
        <f>IFERROR(IF(B91="","",SUMPRODUCT((Matches!$B$3:$B$502=$B$3)*(Matches!$D$3:$D$502=B91)*(Matches!$N$3:$N$502="Draw")*(Matches!$O$3:$O$502="Completed"))+SUMPRODUCT((Matches!$B$3:$B$502=$B$3)*(Matches!$E$3:$E$502=B91)*(Matches!$N$3:$N$502="Draw")*(Matches!$O$3:$O$502="Completed"))),"—")</f>
        <v/>
      </c>
      <c r="F91" s="26">
        <f>IFERROR(IF(B91="","",IF(ISNUMBER(C91),C91-D91-E91,"—")),"—")</f>
        <v/>
      </c>
      <c r="G91" s="27">
        <f>IFERROR(IF(B91="","",IF(ISNUMBER(D91),D91*Setup!$B$8+E91*Setup!$B$9+F91*Setup!$B$10,"—")),"—")</f>
        <v/>
      </c>
      <c r="H91" s="26">
        <f>IFERROR(IF(B91="","",SUMPRODUCT((Matches!$B$3:$B$502=$B$3)*(Matches!$D$3:$D$502=B91)*(Matches!$O$3:$O$502="Completed")*IF(ISNUMBER(Matches!$L$3:$L$502),Matches!$L$3:$L$502,0))+SUMPRODUCT((Matches!$B$3:$B$502=$B$3)*(Matches!$E$3:$E$502=B91)*(Matches!$O$3:$O$502="Completed")*IF(ISNUMBER(Matches!$M$3:$M$502),Matches!$M$3:$M$502,0))),"—")</f>
        <v/>
      </c>
      <c r="I91" s="26">
        <f>IFERROR(IF(B91="","",SUMPRODUCT((Matches!$B$3:$B$502=$B$3)*(Matches!$D$3:$D$502=B91)*(Matches!$O$3:$O$502="Completed")*IF(ISNUMBER(Matches!$M$3:$M$502),Matches!$M$3:$M$502,0))+SUMPRODUCT((Matches!$B$3:$B$502=$B$3)*(Matches!$E$3:$E$502=B91)*(Matches!$O$3:$O$502="Completed")*IF(ISNUMBER(Matches!$L$3:$L$502),Matches!$L$3:$L$502,0))),"—")</f>
        <v/>
      </c>
      <c r="J91" s="28">
        <f>IFERROR(IF(B91="","",IF(ISNUMBER(H91),H91-I91,"—")),"—")</f>
        <v/>
      </c>
    </row>
    <row r="92">
      <c r="A92" s="21" t="n"/>
      <c r="B92" s="13">
        <f>IFERROR(INDEX(Teams!$B$3:$B$52,SMALL(IF(Teams!$A$3:$A$52="D",ROW(Teams!$A$3:$A$52)-ROW(Teams!$A$3)+1),11)),"")</f>
        <v/>
      </c>
      <c r="C92" s="22">
        <f>IFERROR(IF(B92="","",SUMPRODUCT((Matches!$B$3:$B$502=$B$3)*(Matches!$D$3:$D$502=B92)*(Matches!$O$3:$O$502="Completed"))+SUMPRODUCT((Matches!$B$3:$B$502=$B$3)*(Matches!$E$3:$E$502=B92)*(Matches!$O$3:$O$502="Completed"))),"—")</f>
        <v/>
      </c>
      <c r="D92" s="22">
        <f>IFERROR(IF(B92="","",SUMPRODUCT((Matches!$B$3:$B$502=$B$3)*(Matches!$D$3:$D$502=B92)*(Matches!$N$3:$N$502=B92)*(Matches!$O$3:$O$502="Completed"))+SUMPRODUCT((Matches!$B$3:$B$502=$B$3)*(Matches!$E$3:$E$502=B92)*(Matches!$N$3:$N$502=B92)*(Matches!$O$3:$O$502="Completed"))),"—")</f>
        <v/>
      </c>
      <c r="E92" s="22">
        <f>IFERROR(IF(B92="","",SUMPRODUCT((Matches!$B$3:$B$502=$B$3)*(Matches!$D$3:$D$502=B92)*(Matches!$N$3:$N$502="Draw")*(Matches!$O$3:$O$502="Completed"))+SUMPRODUCT((Matches!$B$3:$B$502=$B$3)*(Matches!$E$3:$E$502=B92)*(Matches!$N$3:$N$502="Draw")*(Matches!$O$3:$O$502="Completed"))),"—")</f>
        <v/>
      </c>
      <c r="F92" s="22">
        <f>IFERROR(IF(B92="","",IF(ISNUMBER(C92),C92-D92-E92,"—")),"—")</f>
        <v/>
      </c>
      <c r="G92" s="23">
        <f>IFERROR(IF(B92="","",IF(ISNUMBER(D92),D92*Setup!$B$8+E92*Setup!$B$9+F92*Setup!$B$10,"—")),"—")</f>
        <v/>
      </c>
      <c r="H92" s="22">
        <f>IFERROR(IF(B92="","",SUMPRODUCT((Matches!$B$3:$B$502=$B$3)*(Matches!$D$3:$D$502=B92)*(Matches!$O$3:$O$502="Completed")*IF(ISNUMBER(Matches!$L$3:$L$502),Matches!$L$3:$L$502,0))+SUMPRODUCT((Matches!$B$3:$B$502=$B$3)*(Matches!$E$3:$E$502=B92)*(Matches!$O$3:$O$502="Completed")*IF(ISNUMBER(Matches!$M$3:$M$502),Matches!$M$3:$M$502,0))),"—")</f>
        <v/>
      </c>
      <c r="I92" s="22">
        <f>IFERROR(IF(B92="","",SUMPRODUCT((Matches!$B$3:$B$502=$B$3)*(Matches!$D$3:$D$502=B92)*(Matches!$O$3:$O$502="Completed")*IF(ISNUMBER(Matches!$M$3:$M$502),Matches!$M$3:$M$502,0))+SUMPRODUCT((Matches!$B$3:$B$502=$B$3)*(Matches!$E$3:$E$502=B92)*(Matches!$O$3:$O$502="Completed")*IF(ISNUMBER(Matches!$L$3:$L$502),Matches!$L$3:$L$502,0))),"—")</f>
        <v/>
      </c>
      <c r="J92" s="24">
        <f>IFERROR(IF(B92="","",IF(ISNUMBER(H92),H92-I92,"—")),"—")</f>
        <v/>
      </c>
    </row>
    <row r="93">
      <c r="A93" s="25" t="n"/>
      <c r="B93" s="11">
        <f>IFERROR(INDEX(Teams!$B$3:$B$52,SMALL(IF(Teams!$A$3:$A$52="D",ROW(Teams!$A$3:$A$52)-ROW(Teams!$A$3)+1),12)),"")</f>
        <v/>
      </c>
      <c r="C93" s="26">
        <f>IFERROR(IF(B93="","",SUMPRODUCT((Matches!$B$3:$B$502=$B$3)*(Matches!$D$3:$D$502=B93)*(Matches!$O$3:$O$502="Completed"))+SUMPRODUCT((Matches!$B$3:$B$502=$B$3)*(Matches!$E$3:$E$502=B93)*(Matches!$O$3:$O$502="Completed"))),"—")</f>
        <v/>
      </c>
      <c r="D93" s="26">
        <f>IFERROR(IF(B93="","",SUMPRODUCT((Matches!$B$3:$B$502=$B$3)*(Matches!$D$3:$D$502=B93)*(Matches!$N$3:$N$502=B93)*(Matches!$O$3:$O$502="Completed"))+SUMPRODUCT((Matches!$B$3:$B$502=$B$3)*(Matches!$E$3:$E$502=B93)*(Matches!$N$3:$N$502=B93)*(Matches!$O$3:$O$502="Completed"))),"—")</f>
        <v/>
      </c>
      <c r="E93" s="26">
        <f>IFERROR(IF(B93="","",SUMPRODUCT((Matches!$B$3:$B$502=$B$3)*(Matches!$D$3:$D$502=B93)*(Matches!$N$3:$N$502="Draw")*(Matches!$O$3:$O$502="Completed"))+SUMPRODUCT((Matches!$B$3:$B$502=$B$3)*(Matches!$E$3:$E$502=B93)*(Matches!$N$3:$N$502="Draw")*(Matches!$O$3:$O$502="Completed"))),"—")</f>
        <v/>
      </c>
      <c r="F93" s="26">
        <f>IFERROR(IF(B93="","",IF(ISNUMBER(C93),C93-D93-E93,"—")),"—")</f>
        <v/>
      </c>
      <c r="G93" s="27">
        <f>IFERROR(IF(B93="","",IF(ISNUMBER(D93),D93*Setup!$B$8+E93*Setup!$B$9+F93*Setup!$B$10,"—")),"—")</f>
        <v/>
      </c>
      <c r="H93" s="26">
        <f>IFERROR(IF(B93="","",SUMPRODUCT((Matches!$B$3:$B$502=$B$3)*(Matches!$D$3:$D$502=B93)*(Matches!$O$3:$O$502="Completed")*IF(ISNUMBER(Matches!$L$3:$L$502),Matches!$L$3:$L$502,0))+SUMPRODUCT((Matches!$B$3:$B$502=$B$3)*(Matches!$E$3:$E$502=B93)*(Matches!$O$3:$O$502="Completed")*IF(ISNUMBER(Matches!$M$3:$M$502),Matches!$M$3:$M$502,0))),"—")</f>
        <v/>
      </c>
      <c r="I93" s="26">
        <f>IFERROR(IF(B93="","",SUMPRODUCT((Matches!$B$3:$B$502=$B$3)*(Matches!$D$3:$D$502=B93)*(Matches!$O$3:$O$502="Completed")*IF(ISNUMBER(Matches!$M$3:$M$502),Matches!$M$3:$M$502,0))+SUMPRODUCT((Matches!$B$3:$B$502=$B$3)*(Matches!$E$3:$E$502=B93)*(Matches!$O$3:$O$502="Completed")*IF(ISNUMBER(Matches!$L$3:$L$502),Matches!$L$3:$L$502,0))),"—")</f>
        <v/>
      </c>
      <c r="J93" s="28">
        <f>IFERROR(IF(B93="","",IF(ISNUMBER(H93),H93-I93,"—")),"—")</f>
        <v/>
      </c>
    </row>
    <row r="94">
      <c r="A94" s="21" t="n"/>
      <c r="B94" s="13">
        <f>IFERROR(INDEX(Teams!$B$3:$B$52,SMALL(IF(Teams!$A$3:$A$52="D",ROW(Teams!$A$3:$A$52)-ROW(Teams!$A$3)+1),13)),"")</f>
        <v/>
      </c>
      <c r="C94" s="22">
        <f>IFERROR(IF(B94="","",SUMPRODUCT((Matches!$B$3:$B$502=$B$3)*(Matches!$D$3:$D$502=B94)*(Matches!$O$3:$O$502="Completed"))+SUMPRODUCT((Matches!$B$3:$B$502=$B$3)*(Matches!$E$3:$E$502=B94)*(Matches!$O$3:$O$502="Completed"))),"—")</f>
        <v/>
      </c>
      <c r="D94" s="22">
        <f>IFERROR(IF(B94="","",SUMPRODUCT((Matches!$B$3:$B$502=$B$3)*(Matches!$D$3:$D$502=B94)*(Matches!$N$3:$N$502=B94)*(Matches!$O$3:$O$502="Completed"))+SUMPRODUCT((Matches!$B$3:$B$502=$B$3)*(Matches!$E$3:$E$502=B94)*(Matches!$N$3:$N$502=B94)*(Matches!$O$3:$O$502="Completed"))),"—")</f>
        <v/>
      </c>
      <c r="E94" s="22">
        <f>IFERROR(IF(B94="","",SUMPRODUCT((Matches!$B$3:$B$502=$B$3)*(Matches!$D$3:$D$502=B94)*(Matches!$N$3:$N$502="Draw")*(Matches!$O$3:$O$502="Completed"))+SUMPRODUCT((Matches!$B$3:$B$502=$B$3)*(Matches!$E$3:$E$502=B94)*(Matches!$N$3:$N$502="Draw")*(Matches!$O$3:$O$502="Completed"))),"—")</f>
        <v/>
      </c>
      <c r="F94" s="22">
        <f>IFERROR(IF(B94="","",IF(ISNUMBER(C94),C94-D94-E94,"—")),"—")</f>
        <v/>
      </c>
      <c r="G94" s="23">
        <f>IFERROR(IF(B94="","",IF(ISNUMBER(D94),D94*Setup!$B$8+E94*Setup!$B$9+F94*Setup!$B$10,"—")),"—")</f>
        <v/>
      </c>
      <c r="H94" s="22">
        <f>IFERROR(IF(B94="","",SUMPRODUCT((Matches!$B$3:$B$502=$B$3)*(Matches!$D$3:$D$502=B94)*(Matches!$O$3:$O$502="Completed")*IF(ISNUMBER(Matches!$L$3:$L$502),Matches!$L$3:$L$502,0))+SUMPRODUCT((Matches!$B$3:$B$502=$B$3)*(Matches!$E$3:$E$502=B94)*(Matches!$O$3:$O$502="Completed")*IF(ISNUMBER(Matches!$M$3:$M$502),Matches!$M$3:$M$502,0))),"—")</f>
        <v/>
      </c>
      <c r="I94" s="22">
        <f>IFERROR(IF(B94="","",SUMPRODUCT((Matches!$B$3:$B$502=$B$3)*(Matches!$D$3:$D$502=B94)*(Matches!$O$3:$O$502="Completed")*IF(ISNUMBER(Matches!$M$3:$M$502),Matches!$M$3:$M$502,0))+SUMPRODUCT((Matches!$B$3:$B$502=$B$3)*(Matches!$E$3:$E$502=B94)*(Matches!$O$3:$O$502="Completed")*IF(ISNUMBER(Matches!$L$3:$L$502),Matches!$L$3:$L$502,0))),"—")</f>
        <v/>
      </c>
      <c r="J94" s="24">
        <f>IFERROR(IF(B94="","",IF(ISNUMBER(H94),H94-I94,"—")),"—")</f>
        <v/>
      </c>
    </row>
    <row r="95">
      <c r="A95" s="25" t="n"/>
      <c r="B95" s="11">
        <f>IFERROR(INDEX(Teams!$B$3:$B$52,SMALL(IF(Teams!$A$3:$A$52="D",ROW(Teams!$A$3:$A$52)-ROW(Teams!$A$3)+1),14)),"")</f>
        <v/>
      </c>
      <c r="C95" s="26">
        <f>IFERROR(IF(B95="","",SUMPRODUCT((Matches!$B$3:$B$502=$B$3)*(Matches!$D$3:$D$502=B95)*(Matches!$O$3:$O$502="Completed"))+SUMPRODUCT((Matches!$B$3:$B$502=$B$3)*(Matches!$E$3:$E$502=B95)*(Matches!$O$3:$O$502="Completed"))),"—")</f>
        <v/>
      </c>
      <c r="D95" s="26">
        <f>IFERROR(IF(B95="","",SUMPRODUCT((Matches!$B$3:$B$502=$B$3)*(Matches!$D$3:$D$502=B95)*(Matches!$N$3:$N$502=B95)*(Matches!$O$3:$O$502="Completed"))+SUMPRODUCT((Matches!$B$3:$B$502=$B$3)*(Matches!$E$3:$E$502=B95)*(Matches!$N$3:$N$502=B95)*(Matches!$O$3:$O$502="Completed"))),"—")</f>
        <v/>
      </c>
      <c r="E95" s="26">
        <f>IFERROR(IF(B95="","",SUMPRODUCT((Matches!$B$3:$B$502=$B$3)*(Matches!$D$3:$D$502=B95)*(Matches!$N$3:$N$502="Draw")*(Matches!$O$3:$O$502="Completed"))+SUMPRODUCT((Matches!$B$3:$B$502=$B$3)*(Matches!$E$3:$E$502=B95)*(Matches!$N$3:$N$502="Draw")*(Matches!$O$3:$O$502="Completed"))),"—")</f>
        <v/>
      </c>
      <c r="F95" s="26">
        <f>IFERROR(IF(B95="","",IF(ISNUMBER(C95),C95-D95-E95,"—")),"—")</f>
        <v/>
      </c>
      <c r="G95" s="27">
        <f>IFERROR(IF(B95="","",IF(ISNUMBER(D95),D95*Setup!$B$8+E95*Setup!$B$9+F95*Setup!$B$10,"—")),"—")</f>
        <v/>
      </c>
      <c r="H95" s="26">
        <f>IFERROR(IF(B95="","",SUMPRODUCT((Matches!$B$3:$B$502=$B$3)*(Matches!$D$3:$D$502=B95)*(Matches!$O$3:$O$502="Completed")*IF(ISNUMBER(Matches!$L$3:$L$502),Matches!$L$3:$L$502,0))+SUMPRODUCT((Matches!$B$3:$B$502=$B$3)*(Matches!$E$3:$E$502=B95)*(Matches!$O$3:$O$502="Completed")*IF(ISNUMBER(Matches!$M$3:$M$502),Matches!$M$3:$M$502,0))),"—")</f>
        <v/>
      </c>
      <c r="I95" s="26">
        <f>IFERROR(IF(B95="","",SUMPRODUCT((Matches!$B$3:$B$502=$B$3)*(Matches!$D$3:$D$502=B95)*(Matches!$O$3:$O$502="Completed")*IF(ISNUMBER(Matches!$M$3:$M$502),Matches!$M$3:$M$502,0))+SUMPRODUCT((Matches!$B$3:$B$502=$B$3)*(Matches!$E$3:$E$502=B95)*(Matches!$O$3:$O$502="Completed")*IF(ISNUMBER(Matches!$L$3:$L$502),Matches!$L$3:$L$502,0))),"—")</f>
        <v/>
      </c>
      <c r="J95" s="28">
        <f>IFERROR(IF(B95="","",IF(ISNUMBER(H95),H95-I95,"—")),"—")</f>
        <v/>
      </c>
    </row>
    <row r="96">
      <c r="A96" s="21" t="n"/>
      <c r="B96" s="13">
        <f>IFERROR(INDEX(Teams!$B$3:$B$52,SMALL(IF(Teams!$A$3:$A$52="D",ROW(Teams!$A$3:$A$52)-ROW(Teams!$A$3)+1),15)),"")</f>
        <v/>
      </c>
      <c r="C96" s="22">
        <f>IFERROR(IF(B96="","",SUMPRODUCT((Matches!$B$3:$B$502=$B$3)*(Matches!$D$3:$D$502=B96)*(Matches!$O$3:$O$502="Completed"))+SUMPRODUCT((Matches!$B$3:$B$502=$B$3)*(Matches!$E$3:$E$502=B96)*(Matches!$O$3:$O$502="Completed"))),"—")</f>
        <v/>
      </c>
      <c r="D96" s="22">
        <f>IFERROR(IF(B96="","",SUMPRODUCT((Matches!$B$3:$B$502=$B$3)*(Matches!$D$3:$D$502=B96)*(Matches!$N$3:$N$502=B96)*(Matches!$O$3:$O$502="Completed"))+SUMPRODUCT((Matches!$B$3:$B$502=$B$3)*(Matches!$E$3:$E$502=B96)*(Matches!$N$3:$N$502=B96)*(Matches!$O$3:$O$502="Completed"))),"—")</f>
        <v/>
      </c>
      <c r="E96" s="22">
        <f>IFERROR(IF(B96="","",SUMPRODUCT((Matches!$B$3:$B$502=$B$3)*(Matches!$D$3:$D$502=B96)*(Matches!$N$3:$N$502="Draw")*(Matches!$O$3:$O$502="Completed"))+SUMPRODUCT((Matches!$B$3:$B$502=$B$3)*(Matches!$E$3:$E$502=B96)*(Matches!$N$3:$N$502="Draw")*(Matches!$O$3:$O$502="Completed"))),"—")</f>
        <v/>
      </c>
      <c r="F96" s="22">
        <f>IFERROR(IF(B96="","",IF(ISNUMBER(C96),C96-D96-E96,"—")),"—")</f>
        <v/>
      </c>
      <c r="G96" s="23">
        <f>IFERROR(IF(B96="","",IF(ISNUMBER(D96),D96*Setup!$B$8+E96*Setup!$B$9+F96*Setup!$B$10,"—")),"—")</f>
        <v/>
      </c>
      <c r="H96" s="22">
        <f>IFERROR(IF(B96="","",SUMPRODUCT((Matches!$B$3:$B$502=$B$3)*(Matches!$D$3:$D$502=B96)*(Matches!$O$3:$O$502="Completed")*IF(ISNUMBER(Matches!$L$3:$L$502),Matches!$L$3:$L$502,0))+SUMPRODUCT((Matches!$B$3:$B$502=$B$3)*(Matches!$E$3:$E$502=B96)*(Matches!$O$3:$O$502="Completed")*IF(ISNUMBER(Matches!$M$3:$M$502),Matches!$M$3:$M$502,0))),"—")</f>
        <v/>
      </c>
      <c r="I96" s="22">
        <f>IFERROR(IF(B96="","",SUMPRODUCT((Matches!$B$3:$B$502=$B$3)*(Matches!$D$3:$D$502=B96)*(Matches!$O$3:$O$502="Completed")*IF(ISNUMBER(Matches!$M$3:$M$502),Matches!$M$3:$M$502,0))+SUMPRODUCT((Matches!$B$3:$B$502=$B$3)*(Matches!$E$3:$E$502=B96)*(Matches!$O$3:$O$502="Completed")*IF(ISNUMBER(Matches!$L$3:$L$502),Matches!$L$3:$L$502,0))),"—")</f>
        <v/>
      </c>
      <c r="J96" s="24">
        <f>IFERROR(IF(B96="","",IF(ISNUMBER(H96),H96-I96,"—")),"—")</f>
        <v/>
      </c>
    </row>
    <row r="97">
      <c r="A97" s="25" t="n"/>
      <c r="B97" s="11">
        <f>IFERROR(INDEX(Teams!$B$3:$B$52,SMALL(IF(Teams!$A$3:$A$52="D",ROW(Teams!$A$3:$A$52)-ROW(Teams!$A$3)+1),16)),"")</f>
        <v/>
      </c>
      <c r="C97" s="26">
        <f>IFERROR(IF(B97="","",SUMPRODUCT((Matches!$B$3:$B$502=$B$3)*(Matches!$D$3:$D$502=B97)*(Matches!$O$3:$O$502="Completed"))+SUMPRODUCT((Matches!$B$3:$B$502=$B$3)*(Matches!$E$3:$E$502=B97)*(Matches!$O$3:$O$502="Completed"))),"—")</f>
        <v/>
      </c>
      <c r="D97" s="26">
        <f>IFERROR(IF(B97="","",SUMPRODUCT((Matches!$B$3:$B$502=$B$3)*(Matches!$D$3:$D$502=B97)*(Matches!$N$3:$N$502=B97)*(Matches!$O$3:$O$502="Completed"))+SUMPRODUCT((Matches!$B$3:$B$502=$B$3)*(Matches!$E$3:$E$502=B97)*(Matches!$N$3:$N$502=B97)*(Matches!$O$3:$O$502="Completed"))),"—")</f>
        <v/>
      </c>
      <c r="E97" s="26">
        <f>IFERROR(IF(B97="","",SUMPRODUCT((Matches!$B$3:$B$502=$B$3)*(Matches!$D$3:$D$502=B97)*(Matches!$N$3:$N$502="Draw")*(Matches!$O$3:$O$502="Completed"))+SUMPRODUCT((Matches!$B$3:$B$502=$B$3)*(Matches!$E$3:$E$502=B97)*(Matches!$N$3:$N$502="Draw")*(Matches!$O$3:$O$502="Completed"))),"—")</f>
        <v/>
      </c>
      <c r="F97" s="26">
        <f>IFERROR(IF(B97="","",IF(ISNUMBER(C97),C97-D97-E97,"—")),"—")</f>
        <v/>
      </c>
      <c r="G97" s="27">
        <f>IFERROR(IF(B97="","",IF(ISNUMBER(D97),D97*Setup!$B$8+E97*Setup!$B$9+F97*Setup!$B$10,"—")),"—")</f>
        <v/>
      </c>
      <c r="H97" s="26">
        <f>IFERROR(IF(B97="","",SUMPRODUCT((Matches!$B$3:$B$502=$B$3)*(Matches!$D$3:$D$502=B97)*(Matches!$O$3:$O$502="Completed")*IF(ISNUMBER(Matches!$L$3:$L$502),Matches!$L$3:$L$502,0))+SUMPRODUCT((Matches!$B$3:$B$502=$B$3)*(Matches!$E$3:$E$502=B97)*(Matches!$O$3:$O$502="Completed")*IF(ISNUMBER(Matches!$M$3:$M$502),Matches!$M$3:$M$502,0))),"—")</f>
        <v/>
      </c>
      <c r="I97" s="26">
        <f>IFERROR(IF(B97="","",SUMPRODUCT((Matches!$B$3:$B$502=$B$3)*(Matches!$D$3:$D$502=B97)*(Matches!$O$3:$O$502="Completed")*IF(ISNUMBER(Matches!$M$3:$M$502),Matches!$M$3:$M$502,0))+SUMPRODUCT((Matches!$B$3:$B$502=$B$3)*(Matches!$E$3:$E$502=B97)*(Matches!$O$3:$O$502="Completed")*IF(ISNUMBER(Matches!$L$3:$L$502),Matches!$L$3:$L$502,0))),"—")</f>
        <v/>
      </c>
      <c r="J97" s="28">
        <f>IFERROR(IF(B97="","",IF(ISNUMBER(H97),H97-I97,"—")),"—")</f>
        <v/>
      </c>
    </row>
    <row r="98">
      <c r="A98" s="21" t="n"/>
      <c r="B98" s="13">
        <f>IFERROR(INDEX(Teams!$B$3:$B$52,SMALL(IF(Teams!$A$3:$A$52="D",ROW(Teams!$A$3:$A$52)-ROW(Teams!$A$3)+1),17)),"")</f>
        <v/>
      </c>
      <c r="C98" s="22">
        <f>IFERROR(IF(B98="","",SUMPRODUCT((Matches!$B$3:$B$502=$B$3)*(Matches!$D$3:$D$502=B98)*(Matches!$O$3:$O$502="Completed"))+SUMPRODUCT((Matches!$B$3:$B$502=$B$3)*(Matches!$E$3:$E$502=B98)*(Matches!$O$3:$O$502="Completed"))),"—")</f>
        <v/>
      </c>
      <c r="D98" s="22">
        <f>IFERROR(IF(B98="","",SUMPRODUCT((Matches!$B$3:$B$502=$B$3)*(Matches!$D$3:$D$502=B98)*(Matches!$N$3:$N$502=B98)*(Matches!$O$3:$O$502="Completed"))+SUMPRODUCT((Matches!$B$3:$B$502=$B$3)*(Matches!$E$3:$E$502=B98)*(Matches!$N$3:$N$502=B98)*(Matches!$O$3:$O$502="Completed"))),"—")</f>
        <v/>
      </c>
      <c r="E98" s="22">
        <f>IFERROR(IF(B98="","",SUMPRODUCT((Matches!$B$3:$B$502=$B$3)*(Matches!$D$3:$D$502=B98)*(Matches!$N$3:$N$502="Draw")*(Matches!$O$3:$O$502="Completed"))+SUMPRODUCT((Matches!$B$3:$B$502=$B$3)*(Matches!$E$3:$E$502=B98)*(Matches!$N$3:$N$502="Draw")*(Matches!$O$3:$O$502="Completed"))),"—")</f>
        <v/>
      </c>
      <c r="F98" s="22">
        <f>IFERROR(IF(B98="","",IF(ISNUMBER(C98),C98-D98-E98,"—")),"—")</f>
        <v/>
      </c>
      <c r="G98" s="23">
        <f>IFERROR(IF(B98="","",IF(ISNUMBER(D98),D98*Setup!$B$8+E98*Setup!$B$9+F98*Setup!$B$10,"—")),"—")</f>
        <v/>
      </c>
      <c r="H98" s="22">
        <f>IFERROR(IF(B98="","",SUMPRODUCT((Matches!$B$3:$B$502=$B$3)*(Matches!$D$3:$D$502=B98)*(Matches!$O$3:$O$502="Completed")*IF(ISNUMBER(Matches!$L$3:$L$502),Matches!$L$3:$L$502,0))+SUMPRODUCT((Matches!$B$3:$B$502=$B$3)*(Matches!$E$3:$E$502=B98)*(Matches!$O$3:$O$502="Completed")*IF(ISNUMBER(Matches!$M$3:$M$502),Matches!$M$3:$M$502,0))),"—")</f>
        <v/>
      </c>
      <c r="I98" s="22">
        <f>IFERROR(IF(B98="","",SUMPRODUCT((Matches!$B$3:$B$502=$B$3)*(Matches!$D$3:$D$502=B98)*(Matches!$O$3:$O$502="Completed")*IF(ISNUMBER(Matches!$M$3:$M$502),Matches!$M$3:$M$502,0))+SUMPRODUCT((Matches!$B$3:$B$502=$B$3)*(Matches!$E$3:$E$502=B98)*(Matches!$O$3:$O$502="Completed")*IF(ISNUMBER(Matches!$L$3:$L$502),Matches!$L$3:$L$502,0))),"—")</f>
        <v/>
      </c>
      <c r="J98" s="24">
        <f>IFERROR(IF(B98="","",IF(ISNUMBER(H98),H98-I98,"—")),"—")</f>
        <v/>
      </c>
    </row>
    <row r="99">
      <c r="A99" s="25" t="n"/>
      <c r="B99" s="11">
        <f>IFERROR(INDEX(Teams!$B$3:$B$52,SMALL(IF(Teams!$A$3:$A$52="D",ROW(Teams!$A$3:$A$52)-ROW(Teams!$A$3)+1),18)),"")</f>
        <v/>
      </c>
      <c r="C99" s="26">
        <f>IFERROR(IF(B99="","",SUMPRODUCT((Matches!$B$3:$B$502=$B$3)*(Matches!$D$3:$D$502=B99)*(Matches!$O$3:$O$502="Completed"))+SUMPRODUCT((Matches!$B$3:$B$502=$B$3)*(Matches!$E$3:$E$502=B99)*(Matches!$O$3:$O$502="Completed"))),"—")</f>
        <v/>
      </c>
      <c r="D99" s="26">
        <f>IFERROR(IF(B99="","",SUMPRODUCT((Matches!$B$3:$B$502=$B$3)*(Matches!$D$3:$D$502=B99)*(Matches!$N$3:$N$502=B99)*(Matches!$O$3:$O$502="Completed"))+SUMPRODUCT((Matches!$B$3:$B$502=$B$3)*(Matches!$E$3:$E$502=B99)*(Matches!$N$3:$N$502=B99)*(Matches!$O$3:$O$502="Completed"))),"—")</f>
        <v/>
      </c>
      <c r="E99" s="26">
        <f>IFERROR(IF(B99="","",SUMPRODUCT((Matches!$B$3:$B$502=$B$3)*(Matches!$D$3:$D$502=B99)*(Matches!$N$3:$N$502="Draw")*(Matches!$O$3:$O$502="Completed"))+SUMPRODUCT((Matches!$B$3:$B$502=$B$3)*(Matches!$E$3:$E$502=B99)*(Matches!$N$3:$N$502="Draw")*(Matches!$O$3:$O$502="Completed"))),"—")</f>
        <v/>
      </c>
      <c r="F99" s="26">
        <f>IFERROR(IF(B99="","",IF(ISNUMBER(C99),C99-D99-E99,"—")),"—")</f>
        <v/>
      </c>
      <c r="G99" s="27">
        <f>IFERROR(IF(B99="","",IF(ISNUMBER(D99),D99*Setup!$B$8+E99*Setup!$B$9+F99*Setup!$B$10,"—")),"—")</f>
        <v/>
      </c>
      <c r="H99" s="26">
        <f>IFERROR(IF(B99="","",SUMPRODUCT((Matches!$B$3:$B$502=$B$3)*(Matches!$D$3:$D$502=B99)*(Matches!$O$3:$O$502="Completed")*IF(ISNUMBER(Matches!$L$3:$L$502),Matches!$L$3:$L$502,0))+SUMPRODUCT((Matches!$B$3:$B$502=$B$3)*(Matches!$E$3:$E$502=B99)*(Matches!$O$3:$O$502="Completed")*IF(ISNUMBER(Matches!$M$3:$M$502),Matches!$M$3:$M$502,0))),"—")</f>
        <v/>
      </c>
      <c r="I99" s="26">
        <f>IFERROR(IF(B99="","",SUMPRODUCT((Matches!$B$3:$B$502=$B$3)*(Matches!$D$3:$D$502=B99)*(Matches!$O$3:$O$502="Completed")*IF(ISNUMBER(Matches!$M$3:$M$502),Matches!$M$3:$M$502,0))+SUMPRODUCT((Matches!$B$3:$B$502=$B$3)*(Matches!$E$3:$E$502=B99)*(Matches!$O$3:$O$502="Completed")*IF(ISNUMBER(Matches!$L$3:$L$502),Matches!$L$3:$L$502,0))),"—")</f>
        <v/>
      </c>
      <c r="J99" s="28">
        <f>IFERROR(IF(B99="","",IF(ISNUMBER(H99),H99-I99,"—")),"—")</f>
        <v/>
      </c>
    </row>
    <row r="100">
      <c r="A100" s="21" t="n"/>
      <c r="B100" s="13">
        <f>IFERROR(INDEX(Teams!$B$3:$B$52,SMALL(IF(Teams!$A$3:$A$52="D",ROW(Teams!$A$3:$A$52)-ROW(Teams!$A$3)+1),19)),"")</f>
        <v/>
      </c>
      <c r="C100" s="22">
        <f>IFERROR(IF(B100="","",SUMPRODUCT((Matches!$B$3:$B$502=$B$3)*(Matches!$D$3:$D$502=B100)*(Matches!$O$3:$O$502="Completed"))+SUMPRODUCT((Matches!$B$3:$B$502=$B$3)*(Matches!$E$3:$E$502=B100)*(Matches!$O$3:$O$502="Completed"))),"—")</f>
        <v/>
      </c>
      <c r="D100" s="22">
        <f>IFERROR(IF(B100="","",SUMPRODUCT((Matches!$B$3:$B$502=$B$3)*(Matches!$D$3:$D$502=B100)*(Matches!$N$3:$N$502=B100)*(Matches!$O$3:$O$502="Completed"))+SUMPRODUCT((Matches!$B$3:$B$502=$B$3)*(Matches!$E$3:$E$502=B100)*(Matches!$N$3:$N$502=B100)*(Matches!$O$3:$O$502="Completed"))),"—")</f>
        <v/>
      </c>
      <c r="E100" s="22">
        <f>IFERROR(IF(B100="","",SUMPRODUCT((Matches!$B$3:$B$502=$B$3)*(Matches!$D$3:$D$502=B100)*(Matches!$N$3:$N$502="Draw")*(Matches!$O$3:$O$502="Completed"))+SUMPRODUCT((Matches!$B$3:$B$502=$B$3)*(Matches!$E$3:$E$502=B100)*(Matches!$N$3:$N$502="Draw")*(Matches!$O$3:$O$502="Completed"))),"—")</f>
        <v/>
      </c>
      <c r="F100" s="22">
        <f>IFERROR(IF(B100="","",IF(ISNUMBER(C100),C100-D100-E100,"—")),"—")</f>
        <v/>
      </c>
      <c r="G100" s="23">
        <f>IFERROR(IF(B100="","",IF(ISNUMBER(D100),D100*Setup!$B$8+E100*Setup!$B$9+F100*Setup!$B$10,"—")),"—")</f>
        <v/>
      </c>
      <c r="H100" s="22">
        <f>IFERROR(IF(B100="","",SUMPRODUCT((Matches!$B$3:$B$502=$B$3)*(Matches!$D$3:$D$502=B100)*(Matches!$O$3:$O$502="Completed")*IF(ISNUMBER(Matches!$L$3:$L$502),Matches!$L$3:$L$502,0))+SUMPRODUCT((Matches!$B$3:$B$502=$B$3)*(Matches!$E$3:$E$502=B100)*(Matches!$O$3:$O$502="Completed")*IF(ISNUMBER(Matches!$M$3:$M$502),Matches!$M$3:$M$502,0))),"—")</f>
        <v/>
      </c>
      <c r="I100" s="22">
        <f>IFERROR(IF(B100="","",SUMPRODUCT((Matches!$B$3:$B$502=$B$3)*(Matches!$D$3:$D$502=B100)*(Matches!$O$3:$O$502="Completed")*IF(ISNUMBER(Matches!$M$3:$M$502),Matches!$M$3:$M$502,0))+SUMPRODUCT((Matches!$B$3:$B$502=$B$3)*(Matches!$E$3:$E$502=B100)*(Matches!$O$3:$O$502="Completed")*IF(ISNUMBER(Matches!$L$3:$L$502),Matches!$L$3:$L$502,0))),"—")</f>
        <v/>
      </c>
      <c r="J100" s="24">
        <f>IFERROR(IF(B100="","",IF(ISNUMBER(H100),H100-I100,"—")),"—")</f>
        <v/>
      </c>
    </row>
    <row r="101">
      <c r="A101" s="25" t="n"/>
      <c r="B101" s="11">
        <f>IFERROR(INDEX(Teams!$B$3:$B$52,SMALL(IF(Teams!$A$3:$A$52="D",ROW(Teams!$A$3:$A$52)-ROW(Teams!$A$3)+1),20)),"")</f>
        <v/>
      </c>
      <c r="C101" s="26">
        <f>IFERROR(IF(B101="","",SUMPRODUCT((Matches!$B$3:$B$502=$B$3)*(Matches!$D$3:$D$502=B101)*(Matches!$O$3:$O$502="Completed"))+SUMPRODUCT((Matches!$B$3:$B$502=$B$3)*(Matches!$E$3:$E$502=B101)*(Matches!$O$3:$O$502="Completed"))),"—")</f>
        <v/>
      </c>
      <c r="D101" s="26">
        <f>IFERROR(IF(B101="","",SUMPRODUCT((Matches!$B$3:$B$502=$B$3)*(Matches!$D$3:$D$502=B101)*(Matches!$N$3:$N$502=B101)*(Matches!$O$3:$O$502="Completed"))+SUMPRODUCT((Matches!$B$3:$B$502=$B$3)*(Matches!$E$3:$E$502=B101)*(Matches!$N$3:$N$502=B101)*(Matches!$O$3:$O$502="Completed"))),"—")</f>
        <v/>
      </c>
      <c r="E101" s="26">
        <f>IFERROR(IF(B101="","",SUMPRODUCT((Matches!$B$3:$B$502=$B$3)*(Matches!$D$3:$D$502=B101)*(Matches!$N$3:$N$502="Draw")*(Matches!$O$3:$O$502="Completed"))+SUMPRODUCT((Matches!$B$3:$B$502=$B$3)*(Matches!$E$3:$E$502=B101)*(Matches!$N$3:$N$502="Draw")*(Matches!$O$3:$O$502="Completed"))),"—")</f>
        <v/>
      </c>
      <c r="F101" s="26">
        <f>IFERROR(IF(B101="","",IF(ISNUMBER(C101),C101-D101-E101,"—")),"—")</f>
        <v/>
      </c>
      <c r="G101" s="27">
        <f>IFERROR(IF(B101="","",IF(ISNUMBER(D101),D101*Setup!$B$8+E101*Setup!$B$9+F101*Setup!$B$10,"—")),"—")</f>
        <v/>
      </c>
      <c r="H101" s="26">
        <f>IFERROR(IF(B101="","",SUMPRODUCT((Matches!$B$3:$B$502=$B$3)*(Matches!$D$3:$D$502=B101)*(Matches!$O$3:$O$502="Completed")*IF(ISNUMBER(Matches!$L$3:$L$502),Matches!$L$3:$L$502,0))+SUMPRODUCT((Matches!$B$3:$B$502=$B$3)*(Matches!$E$3:$E$502=B101)*(Matches!$O$3:$O$502="Completed")*IF(ISNUMBER(Matches!$M$3:$M$502),Matches!$M$3:$M$502,0))),"—")</f>
        <v/>
      </c>
      <c r="I101" s="26">
        <f>IFERROR(IF(B101="","",SUMPRODUCT((Matches!$B$3:$B$502=$B$3)*(Matches!$D$3:$D$502=B101)*(Matches!$O$3:$O$502="Completed")*IF(ISNUMBER(Matches!$M$3:$M$502),Matches!$M$3:$M$502,0))+SUMPRODUCT((Matches!$B$3:$B$502=$B$3)*(Matches!$E$3:$E$502=B101)*(Matches!$O$3:$O$502="Completed")*IF(ISNUMBER(Matches!$L$3:$L$502),Matches!$L$3:$L$502,0))),"—")</f>
        <v/>
      </c>
      <c r="J101" s="28">
        <f>IFERROR(IF(B101="","",IF(ISNUMBER(H101),H101-I101,"—")),"—")</f>
        <v/>
      </c>
    </row>
    <row r="105">
      <c r="A105" s="7" t="inlineStr">
        <is>
          <t>Note: Sort the Leaderboard by Points (col G) then Diff (col J) descending to assign positions.</t>
        </is>
      </c>
    </row>
  </sheetData>
  <mergeCells count="5">
    <mergeCell ref="A5:J5"/>
    <mergeCell ref="A80:J80"/>
    <mergeCell ref="A30:J30"/>
    <mergeCell ref="A1:I1"/>
    <mergeCell ref="A55:J55"/>
  </mergeCells>
  <dataValidations count="1">
    <dataValidation sqref="B3" showDropDown="0" showInputMessage="0" showErrorMessage="0" allowBlank="0" type="list">
      <formula1>"Initial,Quarter-Finals,Semi-Finals,Finals"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A16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8" t="inlineStr">
        <is>
          <t>VBA MACRO CODE — Generate Matches</t>
        </is>
      </c>
    </row>
    <row r="2">
      <c r="A2" t="inlineStr"/>
    </row>
    <row r="3">
      <c r="A3" s="29" t="inlineStr">
        <is>
          <t>HOW TO ADD MACROS TO EXCEL:</t>
        </is>
      </c>
    </row>
    <row r="4">
      <c r="A4" s="30" t="inlineStr">
        <is>
          <t>1. Save this file as Tournament.xlsm (File &gt; Save As &gt; Excel Macro-Enabled Workbook)</t>
        </is>
      </c>
    </row>
    <row r="5">
      <c r="A5" s="30" t="inlineStr">
        <is>
          <t>2. Press Alt + F11 to open the VBA Editor</t>
        </is>
      </c>
    </row>
    <row r="6">
      <c r="A6" s="30" t="inlineStr">
        <is>
          <t>3. Click Insert &gt; Module</t>
        </is>
      </c>
    </row>
    <row r="7">
      <c r="A7" s="30" t="inlineStr">
        <is>
          <t>4. Copy and paste ALL the code below into the module</t>
        </is>
      </c>
    </row>
    <row r="8">
      <c r="A8" s="30" t="inlineStr">
        <is>
          <t>5. Close the VBA editor (Alt + F4)</t>
        </is>
      </c>
    </row>
    <row r="9">
      <c r="A9" s="30" t="inlineStr">
        <is>
          <t>6. To run: Developer tab &gt; Macros &gt; select GenerateMatches &gt; Run</t>
        </is>
      </c>
    </row>
    <row r="10">
      <c r="A10" t="inlineStr">
        <is>
          <t xml:space="preserve">   (Or add a button: Developer tab &gt; Insert &gt; Button &gt; assign GenerateMatches macro)</t>
        </is>
      </c>
    </row>
    <row r="11">
      <c r="A11" t="inlineStr"/>
    </row>
    <row r="12">
      <c r="A12" s="3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3">
      <c r="A13" t="inlineStr"/>
    </row>
    <row r="14">
      <c r="A14" s="32" t="inlineStr"/>
    </row>
    <row r="15">
      <c r="A15" s="32" t="inlineStr">
        <is>
          <t>' ════════════════════════════════════════════════════════════════════</t>
        </is>
      </c>
    </row>
    <row r="16">
      <c r="A16" s="32" t="inlineStr">
        <is>
          <t>'  Boules Tournament Manager — Excel Macros</t>
        </is>
      </c>
    </row>
    <row r="17">
      <c r="A17" s="32" t="inlineStr">
        <is>
          <t>'  Paste this entire block into a VBA Module (Alt+F11 &gt; Insert &gt; Module)</t>
        </is>
      </c>
    </row>
    <row r="18">
      <c r="A18" s="32" t="inlineStr">
        <is>
          <t>' ════════════════════════════════════════════════════════════════════</t>
        </is>
      </c>
    </row>
    <row r="19">
      <c r="A19" s="32" t="inlineStr"/>
    </row>
    <row r="20">
      <c r="A20" s="32" t="inlineStr">
        <is>
          <t>Sub GenerateMatches()</t>
        </is>
      </c>
    </row>
    <row r="21">
      <c r="A21" s="32" t="inlineStr">
        <is>
          <t xml:space="preserve">    ' Generates round-robin matches for all divisions from the Teams sheet</t>
        </is>
      </c>
    </row>
    <row r="22">
      <c r="A22" s="32" t="inlineStr">
        <is>
          <t>    </t>
        </is>
      </c>
    </row>
    <row r="23">
      <c r="A23" s="32" t="inlineStr">
        <is>
          <t xml:space="preserve">    Dim wsTeams    As Worksheet</t>
        </is>
      </c>
    </row>
    <row r="24">
      <c r="A24" s="32" t="inlineStr">
        <is>
          <t xml:space="preserve">    Dim wsMatches  As Worksheet</t>
        </is>
      </c>
    </row>
    <row r="25">
      <c r="A25" s="32" t="inlineStr">
        <is>
          <t xml:space="preserve">    Set wsTeams   = ThisWorkbook.Sheets("Teams")</t>
        </is>
      </c>
    </row>
    <row r="26">
      <c r="A26" s="32" t="inlineStr">
        <is>
          <t xml:space="preserve">    Set wsMatches = ThisWorkbook.Sheets("Matches")</t>
        </is>
      </c>
    </row>
    <row r="27">
      <c r="A27" s="32" t="inlineStr">
        <is>
          <t>    </t>
        </is>
      </c>
    </row>
    <row r="28">
      <c r="A28" s="32" t="inlineStr">
        <is>
          <t xml:space="preserve">    Dim lastTeamRow As Long</t>
        </is>
      </c>
    </row>
    <row r="29">
      <c r="A29" s="32" t="inlineStr">
        <is>
          <t xml:space="preserve">    lastTeamRow = wsTeams.Cells(wsTeams.Rows.Count, "B").End(xlUp).Row</t>
        </is>
      </c>
    </row>
    <row r="30">
      <c r="A30" s="32" t="inlineStr">
        <is>
          <t>    </t>
        </is>
      </c>
    </row>
    <row r="31">
      <c r="A31" s="32" t="inlineStr">
        <is>
          <t xml:space="preserve">    If lastTeamRow &lt; 3 Then</t>
        </is>
      </c>
    </row>
    <row r="32">
      <c r="A32" s="32" t="inlineStr">
        <is>
          <t xml:space="preserve">        MsgBox "No teams found. Please add teams to the Teams sheet first.", vbExclamation</t>
        </is>
      </c>
    </row>
    <row r="33">
      <c r="A33" s="32" t="inlineStr">
        <is>
          <t xml:space="preserve">        Exit Sub</t>
        </is>
      </c>
    </row>
    <row r="34">
      <c r="A34" s="32" t="inlineStr">
        <is>
          <t xml:space="preserve">    End If</t>
        </is>
      </c>
    </row>
    <row r="35">
      <c r="A35" s="32" t="inlineStr">
        <is>
          <t>    </t>
        </is>
      </c>
    </row>
    <row r="36">
      <c r="A36" s="32" t="inlineStr">
        <is>
          <t xml:space="preserve">    ' Build dictionary: Division -&gt; list of team names</t>
        </is>
      </c>
    </row>
    <row r="37">
      <c r="A37" s="32" t="inlineStr">
        <is>
          <t xml:space="preserve">    Dim divTeams As Object</t>
        </is>
      </c>
    </row>
    <row r="38">
      <c r="A38" s="32" t="inlineStr">
        <is>
          <t xml:space="preserve">    Set divTeams = CreateObject("Scripting.Dictionary")</t>
        </is>
      </c>
    </row>
    <row r="39">
      <c r="A39" s="32" t="inlineStr">
        <is>
          <t>    </t>
        </is>
      </c>
    </row>
    <row r="40">
      <c r="A40" s="32" t="inlineStr">
        <is>
          <t xml:space="preserve">    Dim i As Long</t>
        </is>
      </c>
    </row>
    <row r="41">
      <c r="A41" s="32" t="inlineStr">
        <is>
          <t xml:space="preserve">    For i = 3 To lastTeamRow</t>
        </is>
      </c>
    </row>
    <row r="42">
      <c r="A42" s="32" t="inlineStr">
        <is>
          <t xml:space="preserve">        Dim divName  As String</t>
        </is>
      </c>
    </row>
    <row r="43">
      <c r="A43" s="32" t="inlineStr">
        <is>
          <t xml:space="preserve">        Dim teamName As String</t>
        </is>
      </c>
    </row>
    <row r="44">
      <c r="A44" s="32" t="inlineStr">
        <is>
          <t xml:space="preserve">        divName  = Trim(CStr(wsTeams.Cells(i, "A").Value))</t>
        </is>
      </c>
    </row>
    <row r="45">
      <c r="A45" s="32" t="inlineStr">
        <is>
          <t xml:space="preserve">        teamName = Trim(CStr(wsTeams.Cells(i, "B").Value))</t>
        </is>
      </c>
    </row>
    <row r="46">
      <c r="A46" s="32" t="inlineStr">
        <is>
          <t xml:space="preserve">        If teamName &lt;&gt; "" And divName &lt;&gt; "" Then</t>
        </is>
      </c>
    </row>
    <row r="47">
      <c r="A47" s="32" t="inlineStr">
        <is>
          <t xml:space="preserve">            If Not divTeams.Exists(divName) Then</t>
        </is>
      </c>
    </row>
    <row r="48">
      <c r="A48" s="32" t="inlineStr">
        <is>
          <t xml:space="preserve">                divTeams.Add divName, New Collection</t>
        </is>
      </c>
    </row>
    <row r="49">
      <c r="A49" s="32" t="inlineStr">
        <is>
          <t xml:space="preserve">            End If</t>
        </is>
      </c>
    </row>
    <row r="50">
      <c r="A50" s="32" t="inlineStr">
        <is>
          <t xml:space="preserve">            divTeams(divName).Add teamName</t>
        </is>
      </c>
    </row>
    <row r="51">
      <c r="A51" s="32" t="inlineStr">
        <is>
          <t xml:space="preserve">        End If</t>
        </is>
      </c>
    </row>
    <row r="52">
      <c r="A52" s="32" t="inlineStr">
        <is>
          <t xml:space="preserve">    Next i</t>
        </is>
      </c>
    </row>
    <row r="53">
      <c r="A53" s="32" t="inlineStr">
        <is>
          <t>    </t>
        </is>
      </c>
    </row>
    <row r="54">
      <c r="A54" s="32" t="inlineStr">
        <is>
          <t xml:space="preserve">    If divTeams.Count = 0 Then</t>
        </is>
      </c>
    </row>
    <row r="55">
      <c r="A55" s="32" t="inlineStr">
        <is>
          <t xml:space="preserve">        MsgBox "No valid teams found (check Division and Team Name columns are filled).", vbExclamation</t>
        </is>
      </c>
    </row>
    <row r="56">
      <c r="A56" s="32" t="inlineStr">
        <is>
          <t xml:space="preserve">        Exit Sub</t>
        </is>
      </c>
    </row>
    <row r="57">
      <c r="A57" s="32" t="inlineStr">
        <is>
          <t xml:space="preserve">    End If</t>
        </is>
      </c>
    </row>
    <row r="58">
      <c r="A58" s="32" t="inlineStr">
        <is>
          <t>    </t>
        </is>
      </c>
    </row>
    <row r="59">
      <c r="A59" s="32" t="inlineStr">
        <is>
          <t xml:space="preserve">    ' Count how many new matches would be generated</t>
        </is>
      </c>
    </row>
    <row r="60">
      <c r="A60" s="32" t="inlineStr">
        <is>
          <t xml:space="preserve">    Dim totalNew As Long</t>
        </is>
      </c>
    </row>
    <row r="61">
      <c r="A61" s="32" t="inlineStr">
        <is>
          <t xml:space="preserve">    totalNew = 0</t>
        </is>
      </c>
    </row>
    <row r="62">
      <c r="A62" s="32" t="inlineStr">
        <is>
          <t xml:space="preserve">    Dim divKey As Variant</t>
        </is>
      </c>
    </row>
    <row r="63">
      <c r="A63" s="32" t="inlineStr">
        <is>
          <t xml:space="preserve">    For Each divKey In divTeams.Keys</t>
        </is>
      </c>
    </row>
    <row r="64">
      <c r="A64" s="32" t="inlineStr">
        <is>
          <t xml:space="preserve">        Dim n As Long</t>
        </is>
      </c>
    </row>
    <row r="65">
      <c r="A65" s="32" t="inlineStr">
        <is>
          <t xml:space="preserve">        n = divTeams(divKey).Count</t>
        </is>
      </c>
    </row>
    <row r="66">
      <c r="A66" s="32" t="inlineStr">
        <is>
          <t xml:space="preserve">        totalNew = totalNew + (n * (n - 1)) / 2</t>
        </is>
      </c>
    </row>
    <row r="67">
      <c r="A67" s="32" t="inlineStr">
        <is>
          <t xml:space="preserve">    Next divKey</t>
        </is>
      </c>
    </row>
    <row r="68">
      <c r="A68" s="32" t="inlineStr">
        <is>
          <t>    </t>
        </is>
      </c>
    </row>
    <row r="69">
      <c r="A69" s="32" t="inlineStr">
        <is>
          <t xml:space="preserve">    Dim confirmMsg As String</t>
        </is>
      </c>
    </row>
    <row r="70">
      <c r="A70" s="32" t="inlineStr">
        <is>
          <t xml:space="preserve">    confirmMsg = "Ready to generate initial round-robin matches." &amp; Chr(13) &amp; Chr(13)</t>
        </is>
      </c>
    </row>
    <row r="71">
      <c r="A71" s="32" t="inlineStr">
        <is>
          <t xml:space="preserve">    Dim dk As Variant</t>
        </is>
      </c>
    </row>
    <row r="72">
      <c r="A72" s="32" t="inlineStr">
        <is>
          <t xml:space="preserve">    For Each dk In divTeams.Keys</t>
        </is>
      </c>
    </row>
    <row r="73">
      <c r="A73" s="32" t="inlineStr">
        <is>
          <t xml:space="preserve">        confirmMsg = confirmMsg &amp; "  Division " &amp; dk &amp; ": " &amp; divTeams(dk).Count &amp; " teams" &amp; Chr(13)</t>
        </is>
      </c>
    </row>
    <row r="74">
      <c r="A74" s="32" t="inlineStr">
        <is>
          <t xml:space="preserve">    Next dk</t>
        </is>
      </c>
    </row>
    <row r="75">
      <c r="A75" s="32" t="inlineStr">
        <is>
          <t xml:space="preserve">    confirmMsg = confirmMsg &amp; Chr(13) &amp; "Up to " &amp; totalNew &amp; " matches will be added." &amp; Chr(13)</t>
        </is>
      </c>
    </row>
    <row r="76">
      <c r="A76" s="32" t="inlineStr">
        <is>
          <t xml:space="preserve">    confirmMsg = confirmMsg &amp; "Existing matches will not be deleted." &amp; Chr(13) &amp; Chr(13)</t>
        </is>
      </c>
    </row>
    <row r="77">
      <c r="A77" s="32" t="inlineStr">
        <is>
          <t xml:space="preserve">    confirmMsg = confirmMsg &amp; "Continue?"</t>
        </is>
      </c>
    </row>
    <row r="78">
      <c r="A78" s="32" t="inlineStr">
        <is>
          <t>    </t>
        </is>
      </c>
    </row>
    <row r="79">
      <c r="A79" s="32" t="inlineStr">
        <is>
          <t xml:space="preserve">    If MsgBox(confirmMsg, vbYesNo + vbQuestion, "Generate Matches") = vbNo Then Exit Sub</t>
        </is>
      </c>
    </row>
    <row r="80">
      <c r="A80" s="32" t="inlineStr">
        <is>
          <t>    </t>
        </is>
      </c>
    </row>
    <row r="81">
      <c r="A81" s="32" t="inlineStr">
        <is>
          <t xml:space="preserve">    ' Find next empty row in Matches sheet (check column D)</t>
        </is>
      </c>
    </row>
    <row r="82">
      <c r="A82" s="32" t="inlineStr">
        <is>
          <t xml:space="preserve">    Dim lastMatchRow As Long</t>
        </is>
      </c>
    </row>
    <row r="83">
      <c r="A83" s="32" t="inlineStr">
        <is>
          <t xml:space="preserve">    lastMatchRow = wsMatches.Cells(wsMatches.Rows.Count, "D").End(xlUp).Row</t>
        </is>
      </c>
    </row>
    <row r="84">
      <c r="A84" s="32" t="inlineStr">
        <is>
          <t xml:space="preserve">    Dim r As Long</t>
        </is>
      </c>
    </row>
    <row r="85">
      <c r="A85" s="32" t="inlineStr">
        <is>
          <t xml:space="preserve">    r = lastMatchRow + 1</t>
        </is>
      </c>
    </row>
    <row r="86">
      <c r="A86" s="32" t="inlineStr">
        <is>
          <t>    </t>
        </is>
      </c>
    </row>
    <row r="87">
      <c r="A87" s="32" t="inlineStr">
        <is>
          <t xml:space="preserve">    Dim addedCount As Long</t>
        </is>
      </c>
    </row>
    <row r="88">
      <c r="A88" s="32" t="inlineStr">
        <is>
          <t xml:space="preserve">    addedCount = 0</t>
        </is>
      </c>
    </row>
    <row r="89">
      <c r="A89" s="32" t="inlineStr">
        <is>
          <t>    </t>
        </is>
      </c>
    </row>
    <row r="90">
      <c r="A90" s="32" t="inlineStr">
        <is>
          <t xml:space="preserve">    For Each divKey In divTeams.Keys</t>
        </is>
      </c>
    </row>
    <row r="91">
      <c r="A91" s="32" t="inlineStr">
        <is>
          <t xml:space="preserve">        ' Convert collection to array</t>
        </is>
      </c>
    </row>
    <row r="92">
      <c r="A92" s="32" t="inlineStr">
        <is>
          <t xml:space="preserve">        Dim col As Collection</t>
        </is>
      </c>
    </row>
    <row r="93">
      <c r="A93" s="32" t="inlineStr">
        <is>
          <t xml:space="preserve">        Set col = divTeams(divKey)</t>
        </is>
      </c>
    </row>
    <row r="94">
      <c r="A94" s="32" t="inlineStr">
        <is>
          <t xml:space="preserve">        Dim teamArr() As String</t>
        </is>
      </c>
    </row>
    <row r="95">
      <c r="A95" s="32" t="inlineStr">
        <is>
          <t xml:space="preserve">        ReDim teamArr(1 To col.Count)</t>
        </is>
      </c>
    </row>
    <row r="96">
      <c r="A96" s="32" t="inlineStr">
        <is>
          <t xml:space="preserve">        Dim k As Long</t>
        </is>
      </c>
    </row>
    <row r="97">
      <c r="A97" s="32" t="inlineStr">
        <is>
          <t xml:space="preserve">        k = 1</t>
        </is>
      </c>
    </row>
    <row r="98">
      <c r="A98" s="32" t="inlineStr">
        <is>
          <t xml:space="preserve">        Dim t As Variant</t>
        </is>
      </c>
    </row>
    <row r="99">
      <c r="A99" s="32" t="inlineStr">
        <is>
          <t xml:space="preserve">        For Each t In col</t>
        </is>
      </c>
    </row>
    <row r="100">
      <c r="A100" s="32" t="inlineStr">
        <is>
          <t xml:space="preserve">            teamArr(k) = CStr(t)</t>
        </is>
      </c>
    </row>
    <row r="101">
      <c r="A101" s="32" t="inlineStr">
        <is>
          <t xml:space="preserve">            k = k + 1</t>
        </is>
      </c>
    </row>
    <row r="102">
      <c r="A102" s="32" t="inlineStr">
        <is>
          <t xml:space="preserve">        Next t</t>
        </is>
      </c>
    </row>
    <row r="103">
      <c r="A103" s="32" t="inlineStr">
        <is>
          <t>        </t>
        </is>
      </c>
    </row>
    <row r="104">
      <c r="A104" s="32" t="inlineStr">
        <is>
          <t xml:space="preserve">        ' Generate all unique pairs</t>
        </is>
      </c>
    </row>
    <row r="105">
      <c r="A105" s="32" t="inlineStr">
        <is>
          <t xml:space="preserve">        Dim ti As Long, tj As Long</t>
        </is>
      </c>
    </row>
    <row r="106">
      <c r="A106" s="32" t="inlineStr">
        <is>
          <t xml:space="preserve">        For ti = 1 To UBound(teamArr)</t>
        </is>
      </c>
    </row>
    <row r="107">
      <c r="A107" s="32" t="inlineStr">
        <is>
          <t xml:space="preserve">            For tj = ti + 1 To UBound(teamArr)</t>
        </is>
      </c>
    </row>
    <row r="108">
      <c r="A108" s="32" t="inlineStr">
        <is>
          <t xml:space="preserve">                ' Check if match already exists (avoid duplicates)</t>
        </is>
      </c>
    </row>
    <row r="109">
      <c r="A109" s="32" t="inlineStr">
        <is>
          <t xml:space="preserve">                Dim exists As Boolean</t>
        </is>
      </c>
    </row>
    <row r="110">
      <c r="A110" s="32" t="inlineStr">
        <is>
          <t xml:space="preserve">                exists = False</t>
        </is>
      </c>
    </row>
    <row r="111">
      <c r="A111" s="32" t="inlineStr">
        <is>
          <t xml:space="preserve">                Dim chk As Long</t>
        </is>
      </c>
    </row>
    <row r="112">
      <c r="A112" s="32" t="inlineStr">
        <is>
          <t xml:space="preserve">                For chk = 3 To lastMatchRow</t>
        </is>
      </c>
    </row>
    <row r="113">
      <c r="A113" s="32" t="inlineStr">
        <is>
          <t xml:space="preserve">                    Dim d As String, e As String</t>
        </is>
      </c>
    </row>
    <row r="114">
      <c r="A114" s="32" t="inlineStr">
        <is>
          <t xml:space="preserve">                    d = CStr(wsMatches.Cells(chk, "D").Value)</t>
        </is>
      </c>
    </row>
    <row r="115">
      <c r="A115" s="32" t="inlineStr">
        <is>
          <t xml:space="preserve">                    e = CStr(wsMatches.Cells(chk, "E").Value)</t>
        </is>
      </c>
    </row>
    <row r="116">
      <c r="A116" s="32" t="inlineStr">
        <is>
          <t xml:space="preserve">                    If (d = teamArr(ti) And e = teamArr(tj)) Or _</t>
        </is>
      </c>
    </row>
    <row r="117">
      <c r="A117" s="32" t="inlineStr">
        <is>
          <t xml:space="preserve">                       (d = teamArr(tj) And e = teamArr(ti)) Then</t>
        </is>
      </c>
    </row>
    <row r="118">
      <c r="A118" s="32" t="inlineStr">
        <is>
          <t xml:space="preserve">                        exists = True</t>
        </is>
      </c>
    </row>
    <row r="119">
      <c r="A119" s="32" t="inlineStr">
        <is>
          <t xml:space="preserve">                        Exit For</t>
        </is>
      </c>
    </row>
    <row r="120">
      <c r="A120" s="32" t="inlineStr">
        <is>
          <t xml:space="preserve">                    End If</t>
        </is>
      </c>
    </row>
    <row r="121">
      <c r="A121" s="32" t="inlineStr">
        <is>
          <t xml:space="preserve">                Next chk</t>
        </is>
      </c>
    </row>
    <row r="122">
      <c r="A122" s="32" t="inlineStr">
        <is>
          <t>                </t>
        </is>
      </c>
    </row>
    <row r="123">
      <c r="A123" s="32" t="inlineStr">
        <is>
          <t xml:space="preserve">                If Not exists Then</t>
        </is>
      </c>
    </row>
    <row r="124">
      <c r="A124" s="32" t="inlineStr">
        <is>
          <t xml:space="preserve">                    wsMatches.Cells(r, "B").Value = "Initial"</t>
        </is>
      </c>
    </row>
    <row r="125">
      <c r="A125" s="32" t="inlineStr">
        <is>
          <t xml:space="preserve">                    wsMatches.Cells(r, "C").Value = CStr(divKey)</t>
        </is>
      </c>
    </row>
    <row r="126">
      <c r="A126" s="32" t="inlineStr">
        <is>
          <t xml:space="preserve">                    wsMatches.Cells(r, "D").Value = teamArr(ti)</t>
        </is>
      </c>
    </row>
    <row r="127">
      <c r="A127" s="32" t="inlineStr">
        <is>
          <t xml:space="preserve">                    wsMatches.Cells(r, "E").Value = teamArr(tj)</t>
        </is>
      </c>
    </row>
    <row r="128">
      <c r="A128" s="32" t="inlineStr">
        <is>
          <t xml:space="preserve">                    r = r + 1</t>
        </is>
      </c>
    </row>
    <row r="129">
      <c r="A129" s="32" t="inlineStr">
        <is>
          <t xml:space="preserve">                    addedCount = addedCount + 1</t>
        </is>
      </c>
    </row>
    <row r="130">
      <c r="A130" s="32" t="inlineStr">
        <is>
          <t xml:space="preserve">                End If</t>
        </is>
      </c>
    </row>
    <row r="131">
      <c r="A131" s="32" t="inlineStr">
        <is>
          <t xml:space="preserve">            Next tj</t>
        </is>
      </c>
    </row>
    <row r="132">
      <c r="A132" s="32" t="inlineStr">
        <is>
          <t xml:space="preserve">        Next ti</t>
        </is>
      </c>
    </row>
    <row r="133">
      <c r="A133" s="32" t="inlineStr">
        <is>
          <t xml:space="preserve">    Next divKey</t>
        </is>
      </c>
    </row>
    <row r="134">
      <c r="A134" s="32" t="inlineStr">
        <is>
          <t>    </t>
        </is>
      </c>
    </row>
    <row r="135">
      <c r="A135" s="32" t="inlineStr">
        <is>
          <t xml:space="preserve">    MsgBox addedCount &amp; " match(es) generated successfully!", vbInformation, "Done"</t>
        </is>
      </c>
    </row>
    <row r="136">
      <c r="A136" s="32" t="inlineStr">
        <is>
          <t>End Sub</t>
        </is>
      </c>
    </row>
    <row r="137">
      <c r="A137" s="32" t="inlineStr"/>
    </row>
    <row r="138">
      <c r="A138" s="32" t="inlineStr"/>
    </row>
    <row r="139">
      <c r="A139" s="32" t="inlineStr">
        <is>
          <t>Sub ClearAllMatches()</t>
        </is>
      </c>
    </row>
    <row r="140">
      <c r="A140" s="32" t="inlineStr">
        <is>
          <t xml:space="preserve">    ' Clears all match data (use with caution!)</t>
        </is>
      </c>
    </row>
    <row r="141">
      <c r="A141" s="32" t="inlineStr">
        <is>
          <t>    </t>
        </is>
      </c>
    </row>
    <row r="142">
      <c r="A142" s="32" t="inlineStr">
        <is>
          <t xml:space="preserve">    If MsgBox("WARNING: This will permanently delete ALL match data including scores." &amp; Chr(13) &amp; Chr(13) &amp; _</t>
        </is>
      </c>
    </row>
    <row r="143">
      <c r="A143" s="32" t="inlineStr">
        <is>
          <t xml:space="preserve">              "Are you absolutely sure?", vbYesNo + vbCritical, "Delete All Matches") = vbNo Then Exit Sub</t>
        </is>
      </c>
    </row>
    <row r="144">
      <c r="A144" s="32" t="inlineStr">
        <is>
          <t>    </t>
        </is>
      </c>
    </row>
    <row r="145">
      <c r="A145" s="32" t="inlineStr">
        <is>
          <t xml:space="preserve">    Dim wsMatches As Worksheet</t>
        </is>
      </c>
    </row>
    <row r="146">
      <c r="A146" s="32" t="inlineStr">
        <is>
          <t xml:space="preserve">    Set wsMatches = ThisWorkbook.Sheets("Matches")</t>
        </is>
      </c>
    </row>
    <row r="147">
      <c r="A147" s="32" t="inlineStr">
        <is>
          <t>    </t>
        </is>
      </c>
    </row>
    <row r="148">
      <c r="A148" s="32" t="inlineStr">
        <is>
          <t xml:space="preserve">    Dim lastRow As Long</t>
        </is>
      </c>
    </row>
    <row r="149">
      <c r="A149" s="32" t="inlineStr">
        <is>
          <t xml:space="preserve">    lastRow = wsMatches.Cells(wsMatches.Rows.Count, "D").End(xlUp).Row</t>
        </is>
      </c>
    </row>
    <row r="150">
      <c r="A150" s="32" t="inlineStr">
        <is>
          <t>    </t>
        </is>
      </c>
    </row>
    <row r="151">
      <c r="A151" s="32" t="inlineStr">
        <is>
          <t xml:space="preserve">    If lastRow &gt;= 3 Then</t>
        </is>
      </c>
    </row>
    <row r="152">
      <c r="A152" s="32" t="inlineStr">
        <is>
          <t xml:space="preserve">        wsMatches.Range("A3:K" &amp; lastRow).ClearContents</t>
        </is>
      </c>
    </row>
    <row r="153">
      <c r="A153" s="32" t="inlineStr">
        <is>
          <t xml:space="preserve">    End If</t>
        </is>
      </c>
    </row>
    <row r="154">
      <c r="A154" s="32" t="inlineStr">
        <is>
          <t>    </t>
        </is>
      </c>
    </row>
    <row r="155">
      <c r="A155" s="32" t="inlineStr">
        <is>
          <t xml:space="preserve">    MsgBox "All matches cleared.", vbInformation</t>
        </is>
      </c>
    </row>
    <row r="156">
      <c r="A156" s="32" t="inlineStr">
        <is>
          <t>End Sub</t>
        </is>
      </c>
    </row>
    <row r="157">
      <c r="A157" s="32" t="inlineStr"/>
    </row>
    <row r="158">
      <c r="A158" s="32" t="inlineStr"/>
    </row>
    <row r="159">
      <c r="A159" s="32" t="inlineStr">
        <is>
          <t>Sub SortLeaderboard()</t>
        </is>
      </c>
    </row>
    <row r="160">
      <c r="A160" s="32" t="inlineStr">
        <is>
          <t xml:space="preserve">    ' Refreshes and sorts a leaderboard division table by Points then Diff</t>
        </is>
      </c>
    </row>
    <row r="161">
      <c r="A161" s="32" t="inlineStr">
        <is>
          <t xml:space="preserve">    ' Run this after entering scores to update positions</t>
        </is>
      </c>
    </row>
    <row r="162">
      <c r="A162" s="32" t="inlineStr">
        <is>
          <t>    </t>
        </is>
      </c>
    </row>
    <row r="163">
      <c r="A163" s="32" t="inlineStr">
        <is>
          <t xml:space="preserve">    MsgBox "Leaderboard formulas auto-calculate from the Matches sheet." &amp; Chr(13) &amp; Chr(13) &amp; _</t>
        </is>
      </c>
    </row>
    <row r="164">
      <c r="A164" s="32" t="inlineStr">
        <is>
          <t xml:space="preserve">           "To sort manually: click on the Points column (G) in a division table," &amp; Chr(13) &amp; _</t>
        </is>
      </c>
    </row>
    <row r="165">
      <c r="A165" s="32" t="inlineStr">
        <is>
          <t xml:space="preserve">           "then use Data &gt; Sort Z-A.", vbInformation, "Leaderboard"</t>
        </is>
      </c>
    </row>
    <row r="166">
      <c r="A166" s="32" t="inlineStr">
        <is>
          <t>End Sub</t>
        </is>
      </c>
    </row>
    <row r="167">
      <c r="A167" s="32" t="inlineStr"/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2026-05-28T00:47:29Z</dcterms:created>
  <dcterms:modified xsi:type="dcterms:W3CDTF">2026-05-28T00:47:30Z</dcterms:modified>
</cp:coreProperties>
</file>